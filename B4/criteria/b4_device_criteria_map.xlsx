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d4386a486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Marking Scheme" sheetId="1" r:id="R879246ba589d4b6f"/>
    <x:sheet xmlns:r="http://schemas.openxmlformats.org/officeDocument/2006/relationships" name="Summary by Device" sheetId="2" r:id="Re738ac5c968d41fe"/>
    <x:sheet xmlns:r="http://schemas.openxmlformats.org/officeDocument/2006/relationships" name="Coverage Review" sheetId="3" r:id="R8df5e660e74840f5"/>
    <x:sheet xmlns:r="http://schemas.openxmlformats.org/officeDocument/2006/relationships" name="Addressing Plan" sheetId="4" r:id="R8a0130ba38714360"/>
    <x:sheet xmlns:r="http://schemas.openxmlformats.org/officeDocument/2006/relationships" name="Checker Notes" sheetId="5" r:id="Rf0734ae7538e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2" fillId="4" borderId="1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c837ebb0347a1" /><Relationship Type="http://schemas.openxmlformats.org/officeDocument/2006/relationships/theme" Target="/xl/theme/theme1.xml" Id="R083eaf124fb34acb" /><Relationship Type="http://schemas.openxmlformats.org/officeDocument/2006/relationships/sharedStrings" Target="/xl/sharedStrings.xml" Id="R950240e360464a6f" /><Relationship Type="http://schemas.openxmlformats.org/officeDocument/2006/relationships/worksheet" Target="/xl/worksheets/sheet1.xml" Id="R879246ba589d4b6f" /><Relationship Type="http://schemas.openxmlformats.org/officeDocument/2006/relationships/worksheet" Target="/xl/worksheets/sheet2.xml" Id="Re738ac5c968d41fe" /><Relationship Type="http://schemas.openxmlformats.org/officeDocument/2006/relationships/worksheet" Target="/xl/worksheets/sheet3.xml" Id="R8df5e660e74840f5" /><Relationship Type="http://schemas.openxmlformats.org/officeDocument/2006/relationships/worksheet" Target="/xl/worksheets/sheet4.xml" Id="R8a0130ba38714360" /><Relationship Type="http://schemas.openxmlformats.org/officeDocument/2006/relationships/worksheet" Target="/xl/worksheets/sheet5.xml" Id="Rf0734ae7538e4682" /></Relationships>
</file>

<file path=xl/tables/table1.xml><?xml version="1.0" encoding="utf-8"?>
<x:table xmlns:x="http://schemas.openxmlformats.org/spreadsheetml/2006/main" id="1" name="B4DeviceMarkingTable" displayName="B4DeviceMarkingTable" ref="A1:K104" headerRowCount="1">
  <x:tableColumns count="11">
    <x:tableColumn id="1" name="Check location"/>
    <x:tableColumn id="2" name="Host role"/>
    <x:tableColumn id="3" name="Aspect ID"/>
    <x:tableColumn id="4" name="Task ref"/>
    <x:tableColumn id="5" name="Requirement"/>
    <x:tableColumn id="6" name="Manual verification method"/>
    <x:tableColumn id="7" name="Expected result"/>
    <x:tableColumn id="8" name="Max points"/>
    <x:tableColumn id="9" name="Result factor (0-1)"/>
    <x:tableColumn id="10" name="Awarded points"/>
    <x:tableColumn id="11" name="Exper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b94fe230b947f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52" hidden="0" customWidth="1"/>
    <x:col min="6" max="6" width="52" hidden="0" customWidth="1"/>
    <x:col min="7" max="7" width="44" hidden="0" customWidth="1"/>
    <x:col min="8" max="8" width="11" hidden="0" customWidth="1"/>
    <x:col min="9" max="9" width="15" hidden="0" customWidth="1"/>
    <x:col min="10" max="10" width="13" hidden="0" customWidth="1"/>
    <x:col min="11" max="11" width="24" hidden="0" customWidth="1"/>
  </x:cols>
  <x:sheetData>
    <x:row r="1" ht="34" customHeight="1">
      <x:c r="A1" s="73" t="str">
        <x:v>Check location</x:v>
      </x:c>
      <x:c r="B1" s="73" t="str">
        <x:v>Host role</x:v>
      </x:c>
      <x:c r="C1" s="73" t="str">
        <x:v>Aspect ID</x:v>
      </x:c>
      <x:c r="D1" s="73" t="str">
        <x:v>Task ref</x:v>
      </x:c>
      <x:c r="E1" s="73" t="str">
        <x:v>Requirement</x:v>
      </x:c>
      <x:c r="F1" s="73" t="str">
        <x:v>Manual verification method</x:v>
      </x:c>
      <x:c r="G1" s="73" t="str">
        <x:v>Expected result</x:v>
      </x:c>
      <x:c r="H1" s="73" t="str">
        <x:v>Max points</x:v>
      </x:c>
      <x:c r="I1" s="73" t="str">
        <x:v>Result factor (0-1)</x:v>
      </x:c>
      <x:c r="J1" s="73" t="str">
        <x:v>Awarded points</x:v>
      </x:c>
      <x:c r="K1" s="73" t="str">
        <x:v>Expert notes</x:v>
      </x:c>
    </x:row>
    <x:row r="2">
      <x:c r="A2" s="14" t="str">
        <x:v>SHA-RTR01</x:v>
      </x:c>
      <x:c r="B2" s="14" t="str">
        <x:v>Routing only, DHCP Relay for Shanghai Client</x:v>
      </x:c>
      <x:c r="C2" s="14" t="str">
        <x:v>SHA-RTR01-01</x:v>
      </x:c>
      <x:c r="D2" s="14" t="str">
        <x:v>Task 1</x:v>
      </x:c>
      <x:c r="E2" s="14" t="str">
        <x:v>Hostname is SHA-RTR01 and all required interfaces are configured with correct IPs: WAN 198.18.140.10/24, DMZ 10.24.10.1/24, Internal 10.24.20.1/24, Client 10.24.30.1/24.</x:v>
      </x:c>
      <x:c r="F2" s="14" t="str">
        <x:v>Run locally: hostname; Get-NetIPConfiguration; Get-NetIPAddress -AddressFamily IPv4</x:v>
      </x:c>
      <x:c r="G2" s="14" t="str">
        <x:v>Hostname and interface IPs match the addressing plan. No missing or swapped corporate interfaces.</x:v>
      </x:c>
      <x:c r="H2" s="16" t="n">
        <x:v>0.35</x:v>
      </x:c>
      <x:c r="I2" s="16"/>
      <x:c r="J2" s="16" t="n">
        <x:f>IFERROR(H2*I2,0)</x:f>
        <x:v>0</x:v>
      </x:c>
      <x:c r="K2" s="14"/>
    </x:row>
    <x:row r="3">
      <x:c r="A3" s="14" t="str">
        <x:v>SHA-RTR01</x:v>
      </x:c>
      <x:c r="B3" s="14" t="str">
        <x:v>Routing only, DHCP Relay for Shanghai Client</x:v>
      </x:c>
      <x:c r="C3" s="14" t="str">
        <x:v>SHA-RTR01-02</x:v>
      </x:c>
      <x:c r="D3" s="14" t="str">
        <x:v>Task 1</x:v>
      </x:c>
      <x:c r="E3" s="14" t="str">
        <x:v>IP forwarding/routing service is enabled for routing between Shanghai subnets and the WAN.</x:v>
      </x:c>
      <x:c r="F3" s="14" t="str">
        <x:v>Run locally: Get-NetIPInterface | Select InterfaceAlias,Forwarding; Get-Service RemoteAccess</x:v>
      </x:c>
      <x:c r="G3" s="14" t="str">
        <x:v>Forwarding is enabled on routing interfaces; routing service is present/running as configured for the solution.</x:v>
      </x:c>
      <x:c r="H3" s="16" t="n">
        <x:v>0.2</x:v>
      </x:c>
      <x:c r="I3" s="16"/>
      <x:c r="J3" s="16" t="n">
        <x:f>IFERROR(H3*I3,0)</x:f>
        <x:v>0</x:v>
      </x:c>
      <x:c r="K3" s="14"/>
    </x:row>
    <x:row r="4">
      <x:c r="A4" s="14" t="str">
        <x:v>SHA-RTR01</x:v>
      </x:c>
      <x:c r="B4" s="14" t="str">
        <x:v>Routing only, DHCP Relay for Shanghai Client</x:v>
      </x:c>
      <x:c r="C4" s="14" t="str">
        <x:v>SHA-RTR01-03</x:v>
      </x:c>
      <x:c r="D4" s="14" t="str">
        <x:v>Task 1</x:v>
      </x:c>
      <x:c r="E4" s="14" t="str">
        <x:v>Static routes to 10.34.20.0/24, 10.34.30.0/24 and 198.18.201.0/24 use next-hop 198.18.140.1.</x:v>
      </x:c>
      <x:c r="F4" s="14" t="str">
        <x:v>Run locally: route print; Get-NetRoute -AddressFamily IPv4</x:v>
      </x:c>
      <x:c r="G4" s="14" t="str">
        <x:v>Routes exist with gateway 198.18.140.1 and correct prefixes. No unrelated route is used to bypass later firewall requirements.</x:v>
      </x:c>
      <x:c r="H4" s="16" t="n">
        <x:v>0.3</x:v>
      </x:c>
      <x:c r="I4" s="16"/>
      <x:c r="J4" s="16" t="n">
        <x:f>IFERROR(H4*I4,0)</x:f>
        <x:v>0</x:v>
      </x:c>
      <x:c r="K4" s="14"/>
    </x:row>
    <x:row r="5">
      <x:c r="A5" s="14" t="str">
        <x:v>SHA-RTR01</x:v>
      </x:c>
      <x:c r="B5" s="14" t="str">
        <x:v>Routing only, DHCP Relay for Shanghai Client</x:v>
      </x:c>
      <x:c r="C5" s="14" t="str">
        <x:v>SHA-RTR01-04</x:v>
      </x:c>
      <x:c r="D5" s="14" t="str">
        <x:v>Task 4</x:v>
      </x:c>
      <x:c r="E5" s="14" t="str">
        <x:v>DHCP Relay is configured for Shanghai Client network 10.24.30.0/24 to DHCP server 10.24.20.10.</x:v>
      </x:c>
      <x:c r="F5" s="14" t="str">
        <x:v>Run locally: inspect RRAS/DHCP Relay settings; confirm relay agent/server address by GUI or netsh/RRAS tools.</x:v>
      </x:c>
      <x:c r="G5" s="14" t="str">
        <x:v>DHCP requests from SHA-CL01 can reach SHA-DC01; relay target is 10.24.20.10.</x:v>
      </x:c>
      <x:c r="H5" s="16" t="n">
        <x:v>0.3</x:v>
      </x:c>
      <x:c r="I5" s="16"/>
      <x:c r="J5" s="16" t="n">
        <x:f>IFERROR(H5*I5,0)</x:f>
        <x:v>0</x:v>
      </x:c>
      <x:c r="K5" s="14"/>
    </x:row>
    <x:row r="6">
      <x:c r="A6" s="14" t="str">
        <x:v>SHA-RTR01</x:v>
      </x:c>
      <x:c r="B6" s="14" t="str">
        <x:v>Routing only, DHCP Relay for Shanghai Client</x:v>
      </x:c>
      <x:c r="C6" s="14" t="str">
        <x:v>SHA-RTR01-05</x:v>
      </x:c>
      <x:c r="D6" s="14" t="str">
        <x:v>Task 1</x:v>
      </x:c>
      <x:c r="E6" s="14" t="str">
        <x:v>NAT, VPN and proxy are not configured as part of B4 on SHA-RTR01.</x:v>
      </x:c>
      <x:c r="F6" s="14" t="str">
        <x:v>Run locally: inspect RRAS roles/features and NAT configuration.</x:v>
      </x:c>
      <x:c r="G6" s="14" t="str">
        <x:v>Router performs routing and DHCP relay only. No NAT/VPN/proxy is used to satisfy validation.</x:v>
      </x:c>
      <x:c r="H6" s="16" t="n">
        <x:v>0.15</x:v>
      </x:c>
      <x:c r="I6" s="16"/>
      <x:c r="J6" s="16" t="n">
        <x:f>IFERROR(H6*I6,0)</x:f>
        <x:v>0</x:v>
      </x:c>
      <x:c r="K6" s="14"/>
    </x:row>
    <x:row r="7">
      <x:c r="A7" s="14" t="str">
        <x:v>SHA-RTR01</x:v>
      </x:c>
      <x:c r="B7" s="14" t="str">
        <x:v>Routing only, DHCP Relay for Shanghai Client</x:v>
      </x:c>
      <x:c r="C7" s="14" t="str">
        <x:v>SHA-RTR01-06</x:v>
      </x:c>
      <x:c r="D7" s="14" t="str">
        <x:v>Task 1</x:v>
      </x:c>
      <x:c r="E7" s="14" t="str">
        <x:v>Basic connectivity from SHA-RTR01 to Beijing routed networks works without changing transport/validation nodes.</x:v>
      </x:c>
      <x:c r="F7" s="14" t="str">
        <x:v>Run locally: Test-NetConnection 10.34.20.10; Test-NetConnection 10.34.30.1</x:v>
      </x:c>
      <x:c r="G7" s="14" t="str">
        <x:v>Beijing DC and Beijing client gateway are reachable through the specified transport path.</x:v>
      </x:c>
      <x:c r="H7" s="16" t="n">
        <x:v>0.2</x:v>
      </x:c>
      <x:c r="I7" s="16"/>
      <x:c r="J7" s="16" t="n">
        <x:f>IFERROR(H7*I7,0)</x:f>
        <x:v>0</x:v>
      </x:c>
      <x:c r="K7" s="14"/>
    </x:row>
    <x:row r="8">
      <x:c r="A8" s="14" t="str">
        <x:v>BJ-RTR01</x:v>
      </x:c>
      <x:c r="B8" s="14" t="str">
        <x:v>Routing only, DHCP Relay for Beijing Client</x:v>
      </x:c>
      <x:c r="C8" s="14" t="str">
        <x:v>BJ-RTR01-01</x:v>
      </x:c>
      <x:c r="D8" s="14" t="str">
        <x:v>Task 1</x:v>
      </x:c>
      <x:c r="E8" s="14" t="str">
        <x:v>Hostname is BJ-RTR01 and all required interfaces are configured with correct IPs: WAN 198.18.141.10/24, Internal 10.34.20.1/24, Client 10.34.30.1/24.</x:v>
      </x:c>
      <x:c r="F8" s="14" t="str">
        <x:v>Run locally: hostname; Get-NetIPConfiguration; Get-NetIPAddress -AddressFamily IPv4</x:v>
      </x:c>
      <x:c r="G8" s="14" t="str">
        <x:v>Hostname and interface IPs match the addressing plan. No missing or swapped corporate interfaces.</x:v>
      </x:c>
      <x:c r="H8" s="16" t="n">
        <x:v>0.3</x:v>
      </x:c>
      <x:c r="I8" s="16"/>
      <x:c r="J8" s="16" t="n">
        <x:f>IFERROR(H8*I8,0)</x:f>
        <x:v>0</x:v>
      </x:c>
      <x:c r="K8" s="14"/>
    </x:row>
    <x:row r="9">
      <x:c r="A9" s="14" t="str">
        <x:v>BJ-RTR01</x:v>
      </x:c>
      <x:c r="B9" s="14" t="str">
        <x:v>Routing only, DHCP Relay for Beijing Client</x:v>
      </x:c>
      <x:c r="C9" s="14" t="str">
        <x:v>BJ-RTR01-02</x:v>
      </x:c>
      <x:c r="D9" s="14" t="str">
        <x:v>Task 1</x:v>
      </x:c>
      <x:c r="E9" s="14" t="str">
        <x:v>IP forwarding/routing service is enabled for routing between Beijing subnets and the WAN.</x:v>
      </x:c>
      <x:c r="F9" s="14" t="str">
        <x:v>Run locally: Get-NetIPInterface | Select InterfaceAlias,Forwarding; inspect RRAS/routing state.</x:v>
      </x:c>
      <x:c r="G9" s="14" t="str">
        <x:v>Forwarding is enabled on routing interfaces and the server functions as a router.</x:v>
      </x:c>
      <x:c r="H9" s="16" t="n">
        <x:v>0.2</x:v>
      </x:c>
      <x:c r="I9" s="16"/>
      <x:c r="J9" s="16" t="n">
        <x:f>IFERROR(H9*I9,0)</x:f>
        <x:v>0</x:v>
      </x:c>
      <x:c r="K9" s="14"/>
    </x:row>
    <x:row r="10">
      <x:c r="A10" s="14" t="str">
        <x:v>BJ-RTR01</x:v>
      </x:c>
      <x:c r="B10" s="14" t="str">
        <x:v>Routing only, DHCP Relay for Beijing Client</x:v>
      </x:c>
      <x:c r="C10" s="14" t="str">
        <x:v>BJ-RTR01-03</x:v>
      </x:c>
      <x:c r="D10" s="14" t="str">
        <x:v>Task 1</x:v>
      </x:c>
      <x:c r="E10" s="14" t="str">
        <x:v>Static routes to 10.24.10.0/24, 10.24.20.0/24, 10.24.30.0/24 and 198.18.200.0/24 use next-hop 198.18.141.1.</x:v>
      </x:c>
      <x:c r="F10" s="14" t="str">
        <x:v>Run locally: route print; Get-NetRoute -AddressFamily IPv4</x:v>
      </x:c>
      <x:c r="G10" s="14" t="str">
        <x:v>Routes exist with gateway 198.18.141.1 and correct prefixes.</x:v>
      </x:c>
      <x:c r="H10" s="16" t="n">
        <x:v>0.25</x:v>
      </x:c>
      <x:c r="I10" s="16"/>
      <x:c r="J10" s="16" t="n">
        <x:f>IFERROR(H10*I10,0)</x:f>
        <x:v>0</x:v>
      </x:c>
      <x:c r="K10" s="14"/>
    </x:row>
    <x:row r="11">
      <x:c r="A11" s="14" t="str">
        <x:v>BJ-RTR01</x:v>
      </x:c>
      <x:c r="B11" s="14" t="str">
        <x:v>Routing only, DHCP Relay for Beijing Client</x:v>
      </x:c>
      <x:c r="C11" s="14" t="str">
        <x:v>BJ-RTR01-04</x:v>
      </x:c>
      <x:c r="D11" s="14" t="str">
        <x:v>Task 4</x:v>
      </x:c>
      <x:c r="E11" s="14" t="str">
        <x:v>DHCP Relay is configured for Beijing Client network 10.34.30.0/24 to DHCP server 10.34.20.10.</x:v>
      </x:c>
      <x:c r="F11" s="14" t="str">
        <x:v>Run locally: inspect RRAS/DHCP Relay settings; confirm relay agent/server address by GUI or netsh/RRAS tools.</x:v>
      </x:c>
      <x:c r="G11" s="14" t="str">
        <x:v>DHCP requests from BJ-CL01 can reach BJ-DC02; relay target is 10.34.20.10.</x:v>
      </x:c>
      <x:c r="H11" s="16" t="n">
        <x:v>0.3</x:v>
      </x:c>
      <x:c r="I11" s="16"/>
      <x:c r="J11" s="16" t="n">
        <x:f>IFERROR(H11*I11,0)</x:f>
        <x:v>0</x:v>
      </x:c>
      <x:c r="K11" s="14"/>
    </x:row>
    <x:row r="12">
      <x:c r="A12" s="14" t="str">
        <x:v>BJ-RTR01</x:v>
      </x:c>
      <x:c r="B12" s="14" t="str">
        <x:v>Routing only, DHCP Relay for Beijing Client</x:v>
      </x:c>
      <x:c r="C12" s="14" t="str">
        <x:v>BJ-RTR01-05</x:v>
      </x:c>
      <x:c r="D12" s="14" t="str">
        <x:v>Task 1</x:v>
      </x:c>
      <x:c r="E12" s="14" t="str">
        <x:v>NAT, VPN and proxy are not configured as part of B4 on BJ-RTR01.</x:v>
      </x:c>
      <x:c r="F12" s="14" t="str">
        <x:v>Run locally: inspect RRAS roles/features and NAT configuration.</x:v>
      </x:c>
      <x:c r="G12" s="14" t="str">
        <x:v>Router performs routing and DHCP relay only. No NAT/VPN/proxy is used to satisfy validation.</x:v>
      </x:c>
      <x:c r="H12" s="16" t="n">
        <x:v>0.1</x:v>
      </x:c>
      <x:c r="I12" s="16"/>
      <x:c r="J12" s="16" t="n">
        <x:f>IFERROR(H12*I12,0)</x:f>
        <x:v>0</x:v>
      </x:c>
      <x:c r="K12" s="14"/>
    </x:row>
    <x:row r="13">
      <x:c r="A13" s="14" t="str">
        <x:v>BJ-RTR01</x:v>
      </x:c>
      <x:c r="B13" s="14" t="str">
        <x:v>Routing only, DHCP Relay for Beijing Client</x:v>
      </x:c>
      <x:c r="C13" s="14" t="str">
        <x:v>BJ-RTR01-06</x:v>
      </x:c>
      <x:c r="D13" s="14" t="str">
        <x:v>Task 1</x:v>
      </x:c>
      <x:c r="E13" s="14" t="str">
        <x:v>Basic connectivity from BJ-RTR01 to Shanghai routed networks works without changing transport/validation nodes.</x:v>
      </x:c>
      <x:c r="F13" s="14" t="str">
        <x:v>Run locally: Test-NetConnection 10.24.20.10; Test-NetConnection 10.24.30.1</x:v>
      </x:c>
      <x:c r="G13" s="14" t="str">
        <x:v>Shanghai DC and Shanghai client gateway are reachable through the specified transport path.</x:v>
      </x:c>
      <x:c r="H13" s="16" t="n">
        <x:v>0.1</x:v>
      </x:c>
      <x:c r="I13" s="16"/>
      <x:c r="J13" s="16" t="n">
        <x:f>IFERROR(H13*I13,0)</x:f>
        <x:v>0</x:v>
      </x:c>
      <x:c r="K13" s="14"/>
    </x:row>
    <x:row r="14">
      <x:c r="A14" s="14" t="str">
        <x:v>SHA-DC01</x:v>
      </x:c>
      <x:c r="B14" s="14" t="str">
        <x:v>Root DC, DNS, DHCP for Shanghai Client, domain policy source</x:v>
      </x:c>
      <x:c r="C14" s="14" t="str">
        <x:v>SHA-DC01-01</x:v>
      </x:c>
      <x:c r="D14" s="14" t="str">
        <x:v>Tasks 1-2</x:v>
      </x:c>
      <x:c r="E14" s="14" t="str">
        <x:v>Hostname, static IP, gateway and DNS client settings are correct for SHA-DC01: 10.24.20.10/24, gateway 10.24.20.1, DNS includes 10.24.20.10 and 10.34.20.10 after domain build.</x:v>
      </x:c>
      <x:c r="F14" s="14" t="str">
        <x:v>Run locally: hostname; Get-NetIPConfiguration</x:v>
      </x:c>
      <x:c r="G14" s="14" t="str">
        <x:v>Network identity matches the plan and the DC can resolve nb-b4.local resources.</x:v>
      </x:c>
      <x:c r="H14" s="16" t="n">
        <x:v>0.2</x:v>
      </x:c>
      <x:c r="I14" s="16"/>
      <x:c r="J14" s="16" t="n">
        <x:f>IFERROR(H14*I14,0)</x:f>
        <x:v>0</x:v>
      </x:c>
      <x:c r="K14" s="14"/>
    </x:row>
    <x:row r="15">
      <x:c r="A15" s="14" t="str">
        <x:v>SHA-DC01</x:v>
      </x:c>
      <x:c r="B15" s="14" t="str">
        <x:v>Root DC, DNS, DHCP for Shanghai Client, domain policy source</x:v>
      </x:c>
      <x:c r="C15" s="14" t="str">
        <x:v>SHA-DC01-02</x:v>
      </x:c>
      <x:c r="D15" s="14" t="str">
        <x:v>Task 2</x:v>
      </x:c>
      <x:c r="E15" s="14" t="str">
        <x:v>A new AD forest nb-b4.local with NetBIOS name NBB4 is created on SHA-DC01.</x:v>
      </x:c>
      <x:c r="F15" s="14" t="str">
        <x:v>Run locally: Get-ADDomain; Get-ADForest</x:v>
      </x:c>
      <x:c r="G15" s="14" t="str">
        <x:v>Domain DNSRoot = nb-b4.local, NetBIOSName = NBB4, SHA-DC01 is a domain controller.</x:v>
      </x:c>
      <x:c r="H15" s="16" t="n">
        <x:v>0.3</x:v>
      </x:c>
      <x:c r="I15" s="16"/>
      <x:c r="J15" s="16" t="n">
        <x:f>IFERROR(H15*I15,0)</x:f>
        <x:v>0</x:v>
      </x:c>
      <x:c r="K15" s="14"/>
    </x:row>
    <x:row r="16">
      <x:c r="A16" s="14" t="str">
        <x:v>SHA-DC01</x:v>
      </x:c>
      <x:c r="B16" s="14" t="str">
        <x:v>Root DC, DNS, DHCP for Shanghai Client, domain policy source</x:v>
      </x:c>
      <x:c r="C16" s="14" t="str">
        <x:v>SHA-DC01-03</x:v>
      </x:c>
      <x:c r="D16" s="14" t="str">
        <x:v>Task 2</x:v>
      </x:c>
      <x:c r="E16" s="14" t="str">
        <x:v>SHA-DC01 is Global Catalog and advertises required DC services.</x:v>
      </x:c>
      <x:c r="F16" s="14" t="str">
        <x:v>Run locally: Get-ADDomainController SHA-DC01; dcdiag /test:Advertising</x:v>
      </x:c>
      <x:c r="G16" s="14" t="str">
        <x:v>GC = True and Advertising test is passed or equivalent evidence is shown.</x:v>
      </x:c>
      <x:c r="H16" s="16" t="n">
        <x:v>0.25</x:v>
      </x:c>
      <x:c r="I16" s="16"/>
      <x:c r="J16" s="16" t="n">
        <x:f>IFERROR(H16*I16,0)</x:f>
        <x:v>0</x:v>
      </x:c>
      <x:c r="K16" s="14"/>
    </x:row>
    <x:row r="17">
      <x:c r="A17" s="14" t="str">
        <x:v>SHA-DC01</x:v>
      </x:c>
      <x:c r="B17" s="14" t="str">
        <x:v>Root DC, DNS, DHCP for Shanghai Client, domain policy source</x:v>
      </x:c>
      <x:c r="C17" s="14" t="str">
        <x:v>SHA-DC01-04</x:v>
      </x:c>
      <x:c r="D17" s="14" t="str">
        <x:v>Task 2</x:v>
      </x:c>
      <x:c r="E17" s="14" t="str">
        <x:v>SYSVOL and NETLOGON shares are available on SHA-DC01.</x:v>
      </x:c>
      <x:c r="F17" s="14" t="str">
        <x:v>Run locally: net share</x:v>
      </x:c>
      <x:c r="G17" s="14" t="str">
        <x:v>SYSVOL and NETLOGON are listed and accessible.</x:v>
      </x:c>
      <x:c r="H17" s="16" t="n">
        <x:v>0.2</x:v>
      </x:c>
      <x:c r="I17" s="16"/>
      <x:c r="J17" s="16" t="n">
        <x:f>IFERROR(H17*I17,0)</x:f>
        <x:v>0</x:v>
      </x:c>
      <x:c r="K17" s="14"/>
    </x:row>
    <x:row r="18">
      <x:c r="A18" s="14" t="str">
        <x:v>SHA-DC01</x:v>
      </x:c>
      <x:c r="B18" s="14" t="str">
        <x:v>Root DC, DNS, DHCP for Shanghai Client, domain policy source</x:v>
      </x:c>
      <x:c r="C18" s="14" t="str">
        <x:v>SHA-DC01-05</x:v>
      </x:c>
      <x:c r="D18" s="14" t="str">
        <x:v>Task 2</x:v>
      </x:c>
      <x:c r="E18" s="14" t="str">
        <x:v>Replication with BJ-DC02 is healthy enough for validation; domain time difference is not more than 5 minutes.</x:v>
      </x:c>
      <x:c r="F18" s="14" t="str">
        <x:v>Run locally: repadmin /replsummary; w32tm /monitor</x:v>
      </x:c>
      <x:c r="G18" s="14" t="str">
        <x:v>No blocking replication failures; time skew is within the requirement.</x:v>
      </x:c>
      <x:c r="H18" s="16" t="n">
        <x:v>0.2</x:v>
      </x:c>
      <x:c r="I18" s="16"/>
      <x:c r="J18" s="16" t="n">
        <x:f>IFERROR(H18*I18,0)</x:f>
        <x:v>0</x:v>
      </x:c>
      <x:c r="K18" s="14"/>
    </x:row>
    <x:row r="19">
      <x:c r="A19" s="14" t="str">
        <x:v>SHA-DC01</x:v>
      </x:c>
      <x:c r="B19" s="14" t="str">
        <x:v>Root DC, DNS, DHCP for Shanghai Client, domain policy source</x:v>
      </x:c>
      <x:c r="C19" s="14" t="str">
        <x:v>SHA-DC01-06</x:v>
      </x:c>
      <x:c r="D19" s="14" t="str">
        <x:v>Task 3</x:v>
      </x:c>
      <x:c r="E19" s="14" t="str">
        <x:v>DNS zone nb-b4.local is AD-integrated and replicated between SHA-DC01 and BJ-DC02.</x:v>
      </x:c>
      <x:c r="F19" s="14" t="str">
        <x:v>Run locally: Get-DnsServerZone -Name nb-b4.local; inspect replication scope.</x:v>
      </x:c>
      <x:c r="G19" s="14" t="str">
        <x:v>Zone exists, is AD-integrated, and is visible on both DCs.</x:v>
      </x:c>
      <x:c r="H19" s="16" t="n">
        <x:v>0.25</x:v>
      </x:c>
      <x:c r="I19" s="16"/>
      <x:c r="J19" s="16" t="n">
        <x:f>IFERROR(H19*I19,0)</x:f>
        <x:v>0</x:v>
      </x:c>
      <x:c r="K19" s="14"/>
    </x:row>
    <x:row r="20">
      <x:c r="A20" s="14" t="str">
        <x:v>SHA-DC01</x:v>
      </x:c>
      <x:c r="B20" s="14" t="str">
        <x:v>Root DC, DNS, DHCP for Shanghai Client, domain policy source</x:v>
      </x:c>
      <x:c r="C20" s="14" t="str">
        <x:v>SHA-DC01-07</x:v>
      </x:c>
      <x:c r="D20" s="14" t="str">
        <x:v>Task 3</x:v>
      </x:c>
      <x:c r="E20" s="14" t="str">
        <x:v>Reverse lookup zones exist for 10.24.10.0/24, 10.24.20.0/24, 10.24.30.0/24, 10.34.20.0/24 and 10.34.30.0/24.</x:v>
      </x:c>
      <x:c r="F20" s="14" t="str">
        <x:v>Run locally: Get-DnsServerZone; Resolve-DnsName &lt;required IP addresses&gt;</x:v>
      </x:c>
      <x:c r="G20" s="14" t="str">
        <x:v>All required reverse zones exist and reverse lookup works for at least the specified server addresses.</x:v>
      </x:c>
      <x:c r="H20" s="16" t="n">
        <x:v>0.15</x:v>
      </x:c>
      <x:c r="I20" s="16"/>
      <x:c r="J20" s="16" t="n">
        <x:f>IFERROR(H20*I20,0)</x:f>
        <x:v>0</x:v>
      </x:c>
      <x:c r="K20" s="14"/>
    </x:row>
    <x:row r="21">
      <x:c r="A21" s="14" t="str">
        <x:v>SHA-DC01</x:v>
      </x:c>
      <x:c r="B21" s="14" t="str">
        <x:v>Root DC, DNS, DHCP for Shanghai Client, domain policy source</x:v>
      </x:c>
      <x:c r="C21" s="14" t="str">
        <x:v>SHA-DC01-08</x:v>
      </x:c>
      <x:c r="D21" s="14" t="str">
        <x:v>Task 3</x:v>
      </x:c>
      <x:c r="E21" s="14" t="str">
        <x:v>Required A/PTR records exist, including router records using internal addresses: sha-rtr01 → 10.24.20.1 and bj-rtr01 → 10.34.20.1.</x:v>
      </x:c>
      <x:c r="F21" s="14" t="str">
        <x:v>Run locally: Resolve-DnsName sha-rtr01.nb-b4.local; Resolve-DnsName bj-rtr01.nb-b4.local; Resolve-DnsName server names and reverse IPs.</x:v>
      </x:c>
      <x:c r="G21" s="14" t="str">
        <x:v>All required A and PTR records resolve to the addresses specified in the task.</x:v>
      </x:c>
      <x:c r="H21" s="16" t="n">
        <x:v>0.25</x:v>
      </x:c>
      <x:c r="I21" s="16"/>
      <x:c r="J21" s="16" t="n">
        <x:f>IFERROR(H21*I21,0)</x:f>
        <x:v>0</x:v>
      </x:c>
      <x:c r="K21" s="14"/>
    </x:row>
    <x:row r="22">
      <x:c r="A22" s="14" t="str">
        <x:v>SHA-DC01</x:v>
      </x:c>
      <x:c r="B22" s="14" t="str">
        <x:v>Root DC, DNS, DHCP for Shanghai Client, domain policy source</x:v>
      </x:c>
      <x:c r="C22" s="14" t="str">
        <x:v>SHA-DC01-09</x:v>
      </x:c>
      <x:c r="D22" s="14" t="str">
        <x:v>Task 3</x:v>
      </x:c>
      <x:c r="E22" s="14" t="str">
        <x:v>CNAME records sec-mgmt.nb-b4.local and eventlog.nb-b4.local are configured correctly.</x:v>
      </x:c>
      <x:c r="F22" s="14" t="str">
        <x:v>Run locally: Resolve-DnsName sec-mgmt.nb-b4.local; Resolve-DnsName eventlog.nb-b4.local</x:v>
      </x:c>
      <x:c r="G22" s="14" t="str">
        <x:v>sec-mgmt resolves to SHA-CL01 and eventlog resolves to BJ-SRV01.</x:v>
      </x:c>
      <x:c r="H22" s="16" t="n">
        <x:v>0.2</x:v>
      </x:c>
      <x:c r="I22" s="16"/>
      <x:c r="J22" s="16" t="n">
        <x:f>IFERROR(H22*I22,0)</x:f>
        <x:v>0</x:v>
      </x:c>
      <x:c r="K22" s="14"/>
    </x:row>
    <x:row r="23">
      <x:c r="A23" s="14" t="str">
        <x:v>SHA-DC01</x:v>
      </x:c>
      <x:c r="B23" s="14" t="str">
        <x:v>Root DC, DNS, DHCP for Shanghai Client, domain policy source</x:v>
      </x:c>
      <x:c r="C23" s="14" t="str">
        <x:v>SHA-DC01-10</x:v>
      </x:c>
      <x:c r="D23" s="14" t="str">
        <x:v>Task 4</x:v>
      </x:c>
      <x:c r="E23" s="14" t="str">
        <x:v>DHCP server on SHA-DC01 is authorized in AD and hosts the Shanghai-ClientNet scope.</x:v>
      </x:c>
      <x:c r="F23" s="14" t="str">
        <x:v>Run locally: Get-DhcpServerInDC; Get-DhcpServerv4Scope -ComputerName SHA-DC01</x:v>
      </x:c>
      <x:c r="G23" s="14" t="str">
        <x:v>SHA-DC01 is authorized; scope 10.24.30.0/24 exists.</x:v>
      </x:c>
      <x:c r="H23" s="16" t="n">
        <x:v>0.2</x:v>
      </x:c>
      <x:c r="I23" s="16"/>
      <x:c r="J23" s="16" t="n">
        <x:f>IFERROR(H23*I23,0)</x:f>
        <x:v>0</x:v>
      </x:c>
      <x:c r="K23" s="14"/>
    </x:row>
    <x:row r="24">
      <x:c r="A24" s="14" t="str">
        <x:v>SHA-DC01</x:v>
      </x:c>
      <x:c r="B24" s="14" t="str">
        <x:v>Root DC, DNS, DHCP for Shanghai Client, domain policy source</x:v>
      </x:c>
      <x:c r="C24" s="14" t="str">
        <x:v>SHA-DC01-11</x:v>
      </x:c>
      <x:c r="D24" s="14" t="str">
        <x:v>Task 4</x:v>
      </x:c>
      <x:c r="E24" s="14" t="str">
        <x:v>Shanghai DHCP scope options and exclusions match the task: range 10.24.30.100–200, exclusion 100–119, gateway 10.24.30.1, DNS 10.24.20.10/10.34.20.10, suffix nb-b4.local.</x:v>
      </x:c>
      <x:c r="F24" s="14" t="str">
        <x:v>Run locally: Get-DhcpServerv4Scope; Get-DhcpServerv4OptionValue; Get-DhcpServerv4ExclusionRange</x:v>
      </x:c>
      <x:c r="G24" s="14" t="str">
        <x:v>Scope configuration matches the stated values.</x:v>
      </x:c>
      <x:c r="H24" s="16" t="n">
        <x:v>0.2</x:v>
      </x:c>
      <x:c r="I24" s="16"/>
      <x:c r="J24" s="16" t="n">
        <x:f>IFERROR(H24*I24,0)</x:f>
        <x:v>0</x:v>
      </x:c>
      <x:c r="K24" s="14"/>
    </x:row>
    <x:row r="25">
      <x:c r="A25" s="14" t="str">
        <x:v>SHA-DC01</x:v>
      </x:c>
      <x:c r="B25" s="14" t="str">
        <x:v>Root DC, DNS, DHCP for Shanghai Client, domain policy source</x:v>
      </x:c>
      <x:c r="C25" s="14" t="str">
        <x:v>SHA-DC01-12</x:v>
      </x:c>
      <x:c r="D25" s="14" t="str">
        <x:v>Task 5</x:v>
      </x:c>
      <x:c r="E25" s="14" t="str">
        <x:v>Required OU structure exists.</x:v>
      </x:c>
      <x:c r="F25" s="14" t="str">
        <x:v>Run locally: Get-ADOrganizationalUnit -Filter * | select Name,DistinguishedName</x:v>
      </x:c>
      <x:c r="G25" s="14" t="str">
        <x:v>00-Servers/Shanghai/Beijing, 10-Workstations/Shanghai/Beijing, 20-B4-Groups, 30-B4-TestUsers and 40-B4-ServiceAccounts exist.</x:v>
      </x:c>
      <x:c r="H25" s="16" t="n">
        <x:v>0.15</x:v>
      </x:c>
      <x:c r="I25" s="16"/>
      <x:c r="J25" s="16" t="n">
        <x:f>IFERROR(H25*I25,0)</x:f>
        <x:v>0</x:v>
      </x:c>
      <x:c r="K25" s="14"/>
    </x:row>
    <x:row r="26">
      <x:c r="A26" s="14" t="str">
        <x:v>SHA-DC01</x:v>
      </x:c>
      <x:c r="B26" s="14" t="str">
        <x:v>Root DC, DNS, DHCP for Shanghai Client, domain policy source</x:v>
      </x:c>
      <x:c r="C26" s="14" t="str">
        <x:v>SHA-DC01-13</x:v>
      </x:c>
      <x:c r="D26" s="14" t="str">
        <x:v>Task 6</x:v>
      </x:c>
      <x:c r="E26" s="14" t="str">
        <x:v>Required security groups exist in OU 20-B4-Groups with Global scope and Security category.</x:v>
      </x:c>
      <x:c r="F26" s="14" t="str">
        <x:v>Run locally: Get-ADGroup GG_B4_* -Properties GroupScope,GroupCategory,DistinguishedName</x:v>
      </x:c>
      <x:c r="G26" s="14" t="str">
        <x:v>All six required groups exist with the correct type; no extra group is used to bypass the access model.</x:v>
      </x:c>
      <x:c r="H26" s="16" t="n">
        <x:v>0.2</x:v>
      </x:c>
      <x:c r="I26" s="16"/>
      <x:c r="J26" s="16" t="n">
        <x:f>IFERROR(H26*I26,0)</x:f>
        <x:v>0</x:v>
      </x:c>
      <x:c r="K26" s="14"/>
    </x:row>
    <x:row r="27">
      <x:c r="A27" s="14" t="str">
        <x:v>SHA-DC01</x:v>
      </x:c>
      <x:c r="B27" s="14" t="str">
        <x:v>Root DC, DNS, DHCP for Shanghai Client, domain policy source</x:v>
      </x:c>
      <x:c r="C27" s="14" t="str">
        <x:v>SHA-DC01-14</x:v>
      </x:c>
      <x:c r="D27" s="14" t="str">
        <x:v>Task 6</x:v>
      </x:c>
      <x:c r="E27" s="14" t="str">
        <x:v>Required users exist in OU 30-B4-TestUsers, are enabled, do not require password change at first logon, and do not have Password never expires enabled.</x:v>
      </x:c>
      <x:c r="F27" s="14" t="str">
        <x:v>Run locally: Get-ADUser sec.admin1,helpdesk.b4,auditor.b4,user.sh01,user.bj01,blocked.admin -Properties Enabled,PasswordNeverExpires,pwdLastSet</x:v>
      </x:c>
      <x:c r="G27" s="14" t="str">
        <x:v>All six users match the required account flags.</x:v>
      </x:c>
      <x:c r="H27" s="16" t="n">
        <x:v>0.2</x:v>
      </x:c>
      <x:c r="I27" s="16"/>
      <x:c r="J27" s="16" t="n">
        <x:f>IFERROR(H27*I27,0)</x:f>
        <x:v>0</x:v>
      </x:c>
      <x:c r="K27" s="14"/>
    </x:row>
    <x:row r="28">
      <x:c r="A28" s="14" t="str">
        <x:v>SHA-DC01</x:v>
      </x:c>
      <x:c r="B28" s="14" t="str">
        <x:v>Root DC, DNS, DHCP for Shanghai Client, domain policy source</x:v>
      </x:c>
      <x:c r="C28" s="14" t="str">
        <x:v>SHA-DC01-15</x:v>
      </x:c>
      <x:c r="D28" s="14" t="str">
        <x:v>Task 6</x:v>
      </x:c>
      <x:c r="E28" s="14" t="str">
        <x:v>User group memberships match the task, including sec.admin1 membership in Domain Admins and blocked.admin only in GG_B4_No_Admin_Test.</x:v>
      </x:c>
      <x:c r="F28" s="14" t="str">
        <x:v>Run locally: Get-ADPrincipalGroupMembership &lt;user&gt;; inspect each required account.</x:v>
      </x:c>
      <x:c r="G28" s="14" t="str">
        <x:v>Memberships match the table and do not grant extra admin access to standard/no-admin users.</x:v>
      </x:c>
      <x:c r="H28" s="16" t="n">
        <x:v>0.2</x:v>
      </x:c>
      <x:c r="I28" s="16"/>
      <x:c r="J28" s="16" t="n">
        <x:f>IFERROR(H28*I28,0)</x:f>
        <x:v>0</x:v>
      </x:c>
      <x:c r="K28" s="14"/>
    </x:row>
    <x:row r="29">
      <x:c r="A29" s="14" t="str">
        <x:v>SHA-DC01</x:v>
      </x:c>
      <x:c r="B29" s="14" t="str">
        <x:v>Root DC, DNS, DHCP for Shanghai Client, domain policy source</x:v>
      </x:c>
      <x:c r="C29" s="14" t="str">
        <x:v>SHA-DC01-16</x:v>
      </x:c>
      <x:c r="D29" s="14" t="str">
        <x:v>Task 7</x:v>
      </x:c>
      <x:c r="E29" s="14" t="str">
        <x:v>Domain account policy is configured: minimum password length 10, complexity enabled, max age 60 days, min age 0 days.</x:v>
      </x:c>
      <x:c r="F29" s="14" t="str">
        <x:v>Run locally: net accounts /domain; Get-ADDefaultDomainPasswordPolicy</x:v>
      </x:c>
      <x:c r="G29" s="14" t="str">
        <x:v>Values match the task; no Fine-Grained Password Policy is used for B4.</x:v>
      </x:c>
      <x:c r="H29" s="16" t="n">
        <x:v>0.2</x:v>
      </x:c>
      <x:c r="I29" s="16"/>
      <x:c r="J29" s="16" t="n">
        <x:f>IFERROR(H29*I29,0)</x:f>
        <x:v>0</x:v>
      </x:c>
      <x:c r="K29" s="14"/>
    </x:row>
    <x:row r="30">
      <x:c r="A30" s="14" t="str">
        <x:v>SHA-DC01</x:v>
      </x:c>
      <x:c r="B30" s="14" t="str">
        <x:v>Root DC, DNS, DHCP for Shanghai Client, domain policy source</x:v>
      </x:c>
      <x:c r="C30" s="14" t="str">
        <x:v>SHA-DC01-17</x:v>
      </x:c>
      <x:c r="D30" s="14" t="str">
        <x:v>Task 7</x:v>
      </x:c>
      <x:c r="E30" s="14" t="str">
        <x:v>Account lockout policy is configured: threshold 5, duration 15 minutes, reset counter after 15 minutes.</x:v>
      </x:c>
      <x:c r="F30" s="14" t="str">
        <x:v>Run locally: net accounts /domain; Get-ADDefaultDomainPasswordPolicy</x:v>
      </x:c>
      <x:c r="G30" s="14" t="str">
        <x:v>Lockout settings match the task.</x:v>
      </x:c>
      <x:c r="H30" s="16" t="n">
        <x:v>0.2</x:v>
      </x:c>
      <x:c r="I30" s="16"/>
      <x:c r="J30" s="16" t="n">
        <x:f>IFERROR(H30*I30,0)</x:f>
        <x:v>0</x:v>
      </x:c>
      <x:c r="K30" s="14"/>
    </x:row>
    <x:row r="31">
      <x:c r="A31" s="14" t="str">
        <x:v>SHA-DC01</x:v>
      </x:c>
      <x:c r="B31" s="14" t="str">
        <x:v>Root DC, DNS, DHCP for Shanghai Client, domain policy source</x:v>
      </x:c>
      <x:c r="C31" s="14" t="str">
        <x:v>SHA-DC01-18</x:v>
      </x:c>
      <x:c r="D31" s="14" t="str">
        <x:v>Task 8</x:v>
      </x:c>
      <x:c r="E31" s="14" t="str">
        <x:v>GPOs B4-Workstation-Local-Admins and B4-Server-Local-Admins exist, are linked to the correct OUs, and are not linked to Domain Controllers.</x:v>
      </x:c>
      <x:c r="F31" s="14" t="str">
        <x:v>Run locally or from SHA-CL01 RSAT: Get-GPO; Get-GPInheritance -Target &lt;OU DN&gt;</x:v>
      </x:c>
      <x:c r="G31" s="14" t="str">
        <x:v>GPOs are present and linked exactly to 10-Workstations and 00-Servers as required.</x:v>
      </x:c>
      <x:c r="H31" s="16" t="n">
        <x:v>0.2</x:v>
      </x:c>
      <x:c r="I31" s="16"/>
      <x:c r="J31" s="16" t="n">
        <x:f>IFERROR(H31*I31,0)</x:f>
        <x:v>0</x:v>
      </x:c>
      <x:c r="K31" s="14"/>
    </x:row>
    <x:row r="32">
      <x:c r="A32" s="14" t="str">
        <x:v>SHA-DC01</x:v>
      </x:c>
      <x:c r="B32" s="14" t="str">
        <x:v>Root DC, DNS, DHCP for Shanghai Client, domain policy source</x:v>
      </x:c>
      <x:c r="C32" s="14" t="str">
        <x:v>SHA-DC01-19</x:v>
      </x:c>
      <x:c r="D32" s="14" t="str">
        <x:v>Task 11</x:v>
      </x:c>
      <x:c r="E32" s="14" t="str">
        <x:v>GPO B4-Advanced-Audit-Policy exists and is applied to servers, workstations and Domain Controllers.</x:v>
      </x:c>
      <x:c r="F32" s="14" t="str">
        <x:v>Run locally or from SHA-CL01 RSAT: Get-GPO B4-Advanced-Audit-Policy; Get-GPInheritance</x:v>
      </x:c>
      <x:c r="G32" s="14" t="str">
        <x:v>Audit GPO exists and targets the required containers.</x:v>
      </x:c>
      <x:c r="H32" s="16" t="n">
        <x:v>0.2</x:v>
      </x:c>
      <x:c r="I32" s="16"/>
      <x:c r="J32" s="16" t="n">
        <x:f>IFERROR(H32*I32,0)</x:f>
        <x:v>0</x:v>
      </x:c>
      <x:c r="K32" s="14"/>
    </x:row>
    <x:row r="33">
      <x:c r="A33" s="14" t="str">
        <x:v>SHA-DC01</x:v>
      </x:c>
      <x:c r="B33" s="14" t="str">
        <x:v>Root DC, DNS, DHCP for Shanghai Client, domain policy source</x:v>
      </x:c>
      <x:c r="C33" s="14" t="str">
        <x:v>SHA-DC01-20</x:v>
      </x:c>
      <x:c r="D33" s="14" t="str">
        <x:v>Task 11</x:v>
      </x:c>
      <x:c r="E33" s="14" t="str">
        <x:v>Advanced Audit Policy on SHA-DC01 includes the required subcategories and command line logging for process creation.</x:v>
      </x:c>
      <x:c r="F33" s="14" t="str">
        <x:v>Run locally: auditpol /get /category:*; gpresult /r; inspect Process Creation command line setting.</x:v>
      </x:c>
      <x:c r="G33" s="14" t="str">
        <x:v>Required audit subcategories are enabled with correct Success/Failure values and command line logging is enabled.</x:v>
      </x:c>
      <x:c r="H33" s="16" t="n">
        <x:v>0.2</x:v>
      </x:c>
      <x:c r="I33" s="16"/>
      <x:c r="J33" s="16" t="n">
        <x:f>IFERROR(H33*I33,0)</x:f>
        <x:v>0</x:v>
      </x:c>
      <x:c r="K33" s="14"/>
    </x:row>
    <x:row r="34">
      <x:c r="A34" s="14" t="str">
        <x:v>SHA-DC01</x:v>
      </x:c>
      <x:c r="B34" s="14" t="str">
        <x:v>Root DC, DNS, DHCP for Shanghai Client, domain policy source</x:v>
      </x:c>
      <x:c r="C34" s="14" t="str">
        <x:v>SHA-DC01-21</x:v>
      </x:c>
      <x:c r="D34" s="14" t="str">
        <x:v>Task 11</x:v>
      </x:c>
      <x:c r="E34" s="14" t="str">
        <x:v>Security log on SHA-DC01 is at least 256 MB and retention mode is Overwrite events as needed.</x:v>
      </x:c>
      <x:c r="F34" s="14" t="str">
        <x:v>Run locally: wevtutil gl Security</x:v>
      </x:c>
      <x:c r="G34" s="14" t="str">
        <x:v>MaxSize is at least 268435456 bytes and retention mode matches the task.</x:v>
      </x:c>
      <x:c r="H34" s="16" t="n">
        <x:v>0.15</x:v>
      </x:c>
      <x:c r="I34" s="16"/>
      <x:c r="J34" s="16" t="n">
        <x:f>IFERROR(H34*I34,0)</x:f>
        <x:v>0</x:v>
      </x:c>
      <x:c r="K34" s="14"/>
    </x:row>
    <x:row r="35">
      <x:c r="A35" s="14" t="str">
        <x:v>SHA-DC01</x:v>
      </x:c>
      <x:c r="B35" s="14" t="str">
        <x:v>Root DC, DNS, DHCP for Shanghai Client, domain policy source</x:v>
      </x:c>
      <x:c r="C35" s="14" t="str">
        <x:v>SHA-DC01-22</x:v>
      </x:c>
      <x:c r="D35" s="14" t="str">
        <x:v>Tasks 9-12</x:v>
      </x:c>
      <x:c r="E35" s="14" t="str">
        <x:v>Windows Firewall is enabled, management WinRM works from SHA-CL01, and SHA-DC01 is configured as a WEF source with Security log forwarding capability.</x:v>
      </x:c>
      <x:c r="F35" s="14" t="str">
        <x:v>Run locally: Get-NetFirewallProfile; winrm enumerate winrm/config/listener; gpresult /r; inspect Subscription Manager policy.</x:v>
      </x:c>
      <x:c r="G35" s="14" t="str">
        <x:v>Firewall is not disabled; required remoting and WEF source settings are present without opening management broadly.</x:v>
      </x:c>
      <x:c r="H35" s="16" t="n">
        <x:v>0.2</x:v>
      </x:c>
      <x:c r="I35" s="16"/>
      <x:c r="J35" s="16" t="n">
        <x:f>IFERROR(H35*I35,0)</x:f>
        <x:v>0</x:v>
      </x:c>
      <x:c r="K35" s="14"/>
    </x:row>
    <x:row r="36">
      <x:c r="A36" s="14" t="str">
        <x:v>SHA-DC01</x:v>
      </x:c>
      <x:c r="B36" s="14" t="str">
        <x:v>Root DC, DNS, DHCP for Shanghai Client, domain policy source</x:v>
      </x:c>
      <x:c r="C36" s="14" t="str">
        <x:v>SHA-DC01-23</x:v>
      </x:c>
      <x:c r="D36" s="14" t="str">
        <x:v>Task 10</x:v>
      </x:c>
      <x:c r="E36" s="14" t="str">
        <x:v>Microsoft Defender is not disabled on SHA-DC01.</x:v>
      </x:c>
      <x:c r="F36" s="14" t="str">
        <x:v>Run locally: Get-MpComputerStatus; Get-MpPreference</x:v>
      </x:c>
      <x:c r="G36" s="14" t="str">
        <x:v>Defender is present and real-time protection is not disabled on the root DC.</x:v>
      </x:c>
      <x:c r="H36" s="16" t="n">
        <x:v>0.15</x:v>
      </x:c>
      <x:c r="I36" s="16"/>
      <x:c r="J36" s="16" t="n">
        <x:f>IFERROR(H36*I36,0)</x:f>
        <x:v>0</x:v>
      </x:c>
      <x:c r="K36" s="14"/>
    </x:row>
    <x:row r="37">
      <x:c r="A37" s="14" t="str">
        <x:v>SHA-DC01</x:v>
      </x:c>
      <x:c r="B37" s="14" t="str">
        <x:v>Root DC, DNS, DHCP for Shanghai Client, domain policy source</x:v>
      </x:c>
      <x:c r="C37" s="14" t="str">
        <x:v>SHA-DC01-24</x:v>
      </x:c>
      <x:c r="D37" s="14" t="str">
        <x:v>Task 5</x:v>
      </x:c>
      <x:c r="E37" s="14" t="str">
        <x:v>SHA-WEB01 and SHA-APP01 are not joined to nb-b4.local and are not created as B4 domain computer accounts.</x:v>
      </x:c>
      <x:c r="F37" s="14" t="str">
        <x:v>Run on SHA-DC01 or from RSAT: Get-ADComputer -Filter "Name -in ('SHA-WEB01','SHA-APP01')"; optionally verify local domain/workgroup state on those hosts.</x:v>
      </x:c>
      <x:c r="G37" s="14" t="str">
        <x:v>No B4 domain computer accounts exist for SHA-WEB01 or SHA-APP01, unless pre-existing out-of-scope artifacts are explicitly documented by the expert.</x:v>
      </x:c>
      <x:c r="H37" s="16" t="n">
        <x:v>0.1</x:v>
      </x:c>
      <x:c r="I37" s="16"/>
      <x:c r="J37" s="16" t="n">
        <x:f>IFERROR(H37*I37,0)</x:f>
        <x:v>0</x:v>
      </x:c>
      <x:c r="K37" s="14"/>
    </x:row>
    <x:row r="38">
      <x:c r="A38" s="14" t="str">
        <x:v>BJ-DC02</x:v>
      </x:c>
      <x:c r="B38" s="14" t="str">
        <x:v>Additional DC, DNS, DHCP for Beijing Client</x:v>
      </x:c>
      <x:c r="C38" s="14" t="str">
        <x:v>BJ-DC02-01</x:v>
      </x:c>
      <x:c r="D38" s="14" t="str">
        <x:v>Tasks 1-2</x:v>
      </x:c>
      <x:c r="E38" s="14" t="str">
        <x:v>Hostname, static IP, gateway and DNS client settings are correct for BJ-DC02: 10.34.20.10/24, gateway 10.34.20.1, preferred DNS 10.34.20.10 after promotion, alternate DNS 10.24.20.10.</x:v>
      </x:c>
      <x:c r="F38" s="14" t="str">
        <x:v>Run locally: hostname; Get-NetIPConfiguration</x:v>
      </x:c>
      <x:c r="G38" s="14" t="str">
        <x:v>Network identity and DNS client order match the task after promotion.</x:v>
      </x:c>
      <x:c r="H38" s="16" t="n">
        <x:v>0.25</x:v>
      </x:c>
      <x:c r="I38" s="16"/>
      <x:c r="J38" s="16" t="n">
        <x:f>IFERROR(H38*I38,0)</x:f>
        <x:v>0</x:v>
      </x:c>
      <x:c r="K38" s="14"/>
    </x:row>
    <x:row r="39">
      <x:c r="A39" s="14" t="str">
        <x:v>BJ-DC02</x:v>
      </x:c>
      <x:c r="B39" s="14" t="str">
        <x:v>Additional DC, DNS, DHCP for Beijing Client</x:v>
      </x:c>
      <x:c r="C39" s="14" t="str">
        <x:v>BJ-DC02-02</x:v>
      </x:c>
      <x:c r="D39" s="14" t="str">
        <x:v>Task 2</x:v>
      </x:c>
      <x:c r="E39" s="14" t="str">
        <x:v>BJ-DC02 is promoted as an additional domain controller in nb-b4.local.</x:v>
      </x:c>
      <x:c r="F39" s="14" t="str">
        <x:v>Run locally: Get-ADDomainController BJ-DC02; dcdiag /test:Advertising</x:v>
      </x:c>
      <x:c r="G39" s="14" t="str">
        <x:v>BJ-DC02 is listed as a DC for nb-b4.local and advertises required services.</x:v>
      </x:c>
      <x:c r="H39" s="16" t="n">
        <x:v>0.35</x:v>
      </x:c>
      <x:c r="I39" s="16"/>
      <x:c r="J39" s="16" t="n">
        <x:f>IFERROR(H39*I39,0)</x:f>
        <x:v>0</x:v>
      </x:c>
      <x:c r="K39" s="14"/>
    </x:row>
    <x:row r="40">
      <x:c r="A40" s="14" t="str">
        <x:v>BJ-DC02</x:v>
      </x:c>
      <x:c r="B40" s="14" t="str">
        <x:v>Additional DC, DNS, DHCP for Beijing Client</x:v>
      </x:c>
      <x:c r="C40" s="14" t="str">
        <x:v>BJ-DC02-03</x:v>
      </x:c>
      <x:c r="D40" s="14" t="str">
        <x:v>Task 2</x:v>
      </x:c>
      <x:c r="E40" s="14" t="str">
        <x:v>BJ-DC02 is Global Catalog and has SYSVOL/NETLOGON shares.</x:v>
      </x:c>
      <x:c r="F40" s="14" t="str">
        <x:v>Run locally: Get-ADDomainController BJ-DC02; net share</x:v>
      </x:c>
      <x:c r="G40" s="14" t="str">
        <x:v>GC = True; SYSVOL and NETLOGON are available.</x:v>
      </x:c>
      <x:c r="H40" s="16" t="n">
        <x:v>0.25</x:v>
      </x:c>
      <x:c r="I40" s="16"/>
      <x:c r="J40" s="16" t="n">
        <x:f>IFERROR(H40*I40,0)</x:f>
        <x:v>0</x:v>
      </x:c>
      <x:c r="K40" s="14"/>
    </x:row>
    <x:row r="41">
      <x:c r="A41" s="14" t="str">
        <x:v>BJ-DC02</x:v>
      </x:c>
      <x:c r="B41" s="14" t="str">
        <x:v>Additional DC, DNS, DHCP for Beijing Client</x:v>
      </x:c>
      <x:c r="C41" s="14" t="str">
        <x:v>BJ-DC02-04</x:v>
      </x:c>
      <x:c r="D41" s="14" t="str">
        <x:v>Task 2</x:v>
      </x:c>
      <x:c r="E41" s="14" t="str">
        <x:v>Replication with SHA-DC01 is healthy enough for validation and time skew is within 5 minutes.</x:v>
      </x:c>
      <x:c r="F41" s="14" t="str">
        <x:v>Run locally: repadmin /replsummary; w32tm /monitor</x:v>
      </x:c>
      <x:c r="G41" s="14" t="str">
        <x:v>No blocking replication failures; time requirement is met.</x:v>
      </x:c>
      <x:c r="H41" s="16" t="n">
        <x:v>0.25</x:v>
      </x:c>
      <x:c r="I41" s="16"/>
      <x:c r="J41" s="16" t="n">
        <x:f>IFERROR(H41*I41,0)</x:f>
        <x:v>0</x:v>
      </x:c>
      <x:c r="K41" s="14"/>
    </x:row>
    <x:row r="42">
      <x:c r="A42" s="14" t="str">
        <x:v>BJ-DC02</x:v>
      </x:c>
      <x:c r="B42" s="14" t="str">
        <x:v>Additional DC, DNS, DHCP for Beijing Client</x:v>
      </x:c>
      <x:c r="C42" s="14" t="str">
        <x:v>BJ-DC02-05</x:v>
      </x:c>
      <x:c r="D42" s="14" t="str">
        <x:v>Task 3</x:v>
      </x:c>
      <x:c r="E42" s="14" t="str">
        <x:v>DNS zones, required records and CNAMEs are replicated and resolve correctly from BJ-DC02.</x:v>
      </x:c>
      <x:c r="F42" s="14" t="str">
        <x:v>Run locally: Get-DnsServerZone; Resolve-DnsName sha-dc01.nb-b4.local; Resolve-DnsName eventlog.nb-b4.local; reverse lookups.</x:v>
      </x:c>
      <x:c r="G42" s="14" t="str">
        <x:v>Forward and reverse lookups required by the task work locally on BJ-DC02.</x:v>
      </x:c>
      <x:c r="H42" s="16" t="n">
        <x:v>0.3</x:v>
      </x:c>
      <x:c r="I42" s="16"/>
      <x:c r="J42" s="16" t="n">
        <x:f>IFERROR(H42*I42,0)</x:f>
        <x:v>0</x:v>
      </x:c>
      <x:c r="K42" s="14"/>
    </x:row>
    <x:row r="43">
      <x:c r="A43" s="14" t="str">
        <x:v>BJ-DC02</x:v>
      </x:c>
      <x:c r="B43" s="14" t="str">
        <x:v>Additional DC, DNS, DHCP for Beijing Client</x:v>
      </x:c>
      <x:c r="C43" s="14" t="str">
        <x:v>BJ-DC02-06</x:v>
      </x:c>
      <x:c r="D43" s="14" t="str">
        <x:v>Task 4</x:v>
      </x:c>
      <x:c r="E43" s="14" t="str">
        <x:v>DHCP server on BJ-DC02 is authorized in AD and hosts the Beijing-ClientNet scope.</x:v>
      </x:c>
      <x:c r="F43" s="14" t="str">
        <x:v>Run locally: Get-DhcpServerInDC; Get-DhcpServerv4Scope -ComputerName BJ-DC02</x:v>
      </x:c>
      <x:c r="G43" s="14" t="str">
        <x:v>BJ-DC02 is authorized; scope 10.34.30.0/24 exists.</x:v>
      </x:c>
      <x:c r="H43" s="16" t="n">
        <x:v>0.25</x:v>
      </x:c>
      <x:c r="I43" s="16"/>
      <x:c r="J43" s="16" t="n">
        <x:f>IFERROR(H43*I43,0)</x:f>
        <x:v>0</x:v>
      </x:c>
      <x:c r="K43" s="14"/>
    </x:row>
    <x:row r="44">
      <x:c r="A44" s="14" t="str">
        <x:v>BJ-DC02</x:v>
      </x:c>
      <x:c r="B44" s="14" t="str">
        <x:v>Additional DC, DNS, DHCP for Beijing Client</x:v>
      </x:c>
      <x:c r="C44" s="14" t="str">
        <x:v>BJ-DC02-07</x:v>
      </x:c>
      <x:c r="D44" s="14" t="str">
        <x:v>Task 4</x:v>
      </x:c>
      <x:c r="E44" s="14" t="str">
        <x:v>Beijing DHCP scope options and exclusions match the task: range 10.34.30.100–200, exclusion 100–119, gateway 10.34.30.1, DNS 10.34.20.10/10.24.20.10, suffix nb-b4.local.</x:v>
      </x:c>
      <x:c r="F44" s="14" t="str">
        <x:v>Run locally: Get-DhcpServerv4Scope; Get-DhcpServerv4OptionValue; Get-DhcpServerv4ExclusionRange</x:v>
      </x:c>
      <x:c r="G44" s="14" t="str">
        <x:v>Scope configuration matches the stated values.</x:v>
      </x:c>
      <x:c r="H44" s="16" t="n">
        <x:v>0.25</x:v>
      </x:c>
      <x:c r="I44" s="16"/>
      <x:c r="J44" s="16" t="n">
        <x:f>IFERROR(H44*I44,0)</x:f>
        <x:v>0</x:v>
      </x:c>
      <x:c r="K44" s="14"/>
    </x:row>
    <x:row r="45">
      <x:c r="A45" s="14" t="str">
        <x:v>BJ-DC02</x:v>
      </x:c>
      <x:c r="B45" s="14" t="str">
        <x:v>Additional DC, DNS, DHCP for Beijing Client</x:v>
      </x:c>
      <x:c r="C45" s="14" t="str">
        <x:v>BJ-DC02-08</x:v>
      </x:c>
      <x:c r="D45" s="14" t="str">
        <x:v>Tasks 9-12</x:v>
      </x:c>
      <x:c r="E45" s="14" t="str">
        <x:v>Windows Firewall is enabled, WinRM management works from SHA-CL01, and BJ-DC02 is configured as a WEF source.</x:v>
      </x:c>
      <x:c r="F45" s="14" t="str">
        <x:v>Run locally: Get-NetFirewallProfile; winrm enumerate winrm/config/listener; gpresult /r; inspect Subscription Manager policy.</x:v>
      </x:c>
      <x:c r="G45" s="14" t="str">
        <x:v>Firewall is enabled; WinRM/WEF settings match the required model.</x:v>
      </x:c>
      <x:c r="H45" s="16" t="n">
        <x:v>0.25</x:v>
      </x:c>
      <x:c r="I45" s="16"/>
      <x:c r="J45" s="16" t="n">
        <x:f>IFERROR(H45*I45,0)</x:f>
        <x:v>0</x:v>
      </x:c>
      <x:c r="K45" s="14"/>
    </x:row>
    <x:row r="46">
      <x:c r="A46" s="14" t="str">
        <x:v>BJ-DC02</x:v>
      </x:c>
      <x:c r="B46" s="14" t="str">
        <x:v>Additional DC, DNS, DHCP for Beijing Client</x:v>
      </x:c>
      <x:c r="C46" s="14" t="str">
        <x:v>BJ-DC02-09</x:v>
      </x:c>
      <x:c r="D46" s="14" t="str">
        <x:v>Task 10</x:v>
      </x:c>
      <x:c r="E46" s="14" t="str">
        <x:v>Microsoft Defender is not disabled on BJ-DC02.</x:v>
      </x:c>
      <x:c r="F46" s="14" t="str">
        <x:v>Run locally: Get-MpComputerStatus; Get-MpPreference</x:v>
      </x:c>
      <x:c r="G46" s="14" t="str">
        <x:v>Defender is present and real-time protection is not disabled.</x:v>
      </x:c>
      <x:c r="H46" s="16" t="n">
        <x:v>0.15</x:v>
      </x:c>
      <x:c r="I46" s="16"/>
      <x:c r="J46" s="16" t="n">
        <x:f>IFERROR(H46*I46,0)</x:f>
        <x:v>0</x:v>
      </x:c>
      <x:c r="K46" s="14"/>
    </x:row>
    <x:row r="47">
      <x:c r="A47" s="14" t="str">
        <x:v>BJ-DC02</x:v>
      </x:c>
      <x:c r="B47" s="14" t="str">
        <x:v>Additional DC, DNS, DHCP for Beijing Client</x:v>
      </x:c>
      <x:c r="C47" s="14" t="str">
        <x:v>BJ-DC02-10</x:v>
      </x:c>
      <x:c r="D47" s="14" t="str">
        <x:v>Task 11</x:v>
      </x:c>
      <x:c r="E47" s="14" t="str">
        <x:v>Advanced Audit Policy, command line logging and Security log settings are applied on BJ-DC02.</x:v>
      </x:c>
      <x:c r="F47" s="14" t="str">
        <x:v>Run locally: auditpol /get /category:*; wevtutil gl Security; gpresult /r</x:v>
      </x:c>
      <x:c r="G47" s="14" t="str">
        <x:v>Required audit subcategories are set; Security log is at least 256 MB and overwrite mode is used.</x:v>
      </x:c>
      <x:c r="H47" s="16" t="n">
        <x:v>0.35</x:v>
      </x:c>
      <x:c r="I47" s="16"/>
      <x:c r="J47" s="16" t="n">
        <x:f>IFERROR(H47*I47,0)</x:f>
        <x:v>0</x:v>
      </x:c>
      <x:c r="K47" s="14"/>
    </x:row>
    <x:row r="48">
      <x:c r="A48" s="14" t="str">
        <x:v>BJ-DC02</x:v>
      </x:c>
      <x:c r="B48" s="14" t="str">
        <x:v>Additional DC, DNS, DHCP for Beijing Client</x:v>
      </x:c>
      <x:c r="C48" s="14" t="str">
        <x:v>BJ-DC02-11</x:v>
      </x:c>
      <x:c r="D48" s="14" t="str">
        <x:v>Task 12</x:v>
      </x:c>
      <x:c r="E48" s="14" t="str">
        <x:v>BJ-DC02 successfully forwards relevant Security events to BJ-SRV01.</x:v>
      </x:c>
      <x:c r="F48" s="14" t="str">
        <x:v>Run locally: generate/check relevant events; on BJ-SRV01 inspect Forwarded Events for BJ-DC02 source.</x:v>
      </x:c>
      <x:c r="G48" s="14" t="str">
        <x:v>Forwarded Events contains current events from BJ-DC02 after policy refresh.</x:v>
      </x:c>
      <x:c r="H48" s="16" t="n">
        <x:v>0.35</x:v>
      </x:c>
      <x:c r="I48" s="16"/>
      <x:c r="J48" s="16" t="n">
        <x:f>IFERROR(H48*I48,0)</x:f>
        <x:v>0</x:v>
      </x:c>
      <x:c r="K48" s="14"/>
    </x:row>
    <x:row r="49">
      <x:c r="A49" s="14" t="str">
        <x:v>SHA-FS01</x:v>
      </x:c>
      <x:c r="B49" s="14" t="str">
        <x:v>Member server, security baseline target, WEF source</x:v>
      </x:c>
      <x:c r="C49" s="14" t="str">
        <x:v>SHA-FS01-01</x:v>
      </x:c>
      <x:c r="D49" s="14" t="str">
        <x:v>Tasks 1 and 5</x:v>
      </x:c>
      <x:c r="E49" s="14" t="str">
        <x:v>Hostname, IP settings, domain join and OU placement are correct: 10.24.20.20/24, gateway 10.24.20.1, domain nb-b4.local, OU=Shanghai,OU=00-Servers.</x:v>
      </x:c>
      <x:c r="F49" s="14" t="str">
        <x:v>Run locally: hostname; Get-NetIPConfiguration; whoami /fqdn; on DC check computer DN if needed.</x:v>
      </x:c>
      <x:c r="G49" s="14" t="str">
        <x:v>Server is a domain member in the required OU with correct IP configuration.</x:v>
      </x:c>
      <x:c r="H49" s="16" t="n">
        <x:v>0.3</x:v>
      </x:c>
      <x:c r="I49" s="16"/>
      <x:c r="J49" s="16" t="n">
        <x:f>IFERROR(H49*I49,0)</x:f>
        <x:v>0</x:v>
      </x:c>
      <x:c r="K49" s="14"/>
    </x:row>
    <x:row r="50">
      <x:c r="A50" s="14" t="str">
        <x:v>SHA-FS01</x:v>
      </x:c>
      <x:c r="B50" s="14" t="str">
        <x:v>Member server, security baseline target, WEF source</x:v>
      </x:c>
      <x:c r="C50" s="14" t="str">
        <x:v>SHA-FS01-02</x:v>
      </x:c>
      <x:c r="D50" s="14" t="str">
        <x:v>Task 8</x:v>
      </x:c>
      <x:c r="E50" s="14" t="str">
        <x:v>Server local administrator model is applied: Domain Admins and GG_B4_Server_Admins have admin rights; helpdesk.b4, standard users, no-admin test group and workstation admins do not get server admin rights.</x:v>
      </x:c>
      <x:c r="F50" s="14" t="str">
        <x:v>Run locally: Get-LocalGroupMember Administrators; gpresult /r</x:v>
      </x:c>
      <x:c r="G50" s="14" t="str">
        <x:v>Allowed domain principals are present; disallowed principals are not granted local administrator rights.</x:v>
      </x:c>
      <x:c r="H50" s="16" t="n">
        <x:v>0.35</x:v>
      </x:c>
      <x:c r="I50" s="16"/>
      <x:c r="J50" s="16" t="n">
        <x:f>IFERROR(H50*I50,0)</x:f>
        <x:v>0</x:v>
      </x:c>
      <x:c r="K50" s="14"/>
    </x:row>
    <x:row r="51">
      <x:c r="A51" s="14" t="str">
        <x:v>SHA-FS01</x:v>
      </x:c>
      <x:c r="B51" s="14" t="str">
        <x:v>Member server, security baseline target, WEF source</x:v>
      </x:c>
      <x:c r="C51" s="14" t="str">
        <x:v>SHA-FS01-03</x:v>
      </x:c>
      <x:c r="D51" s="14" t="str">
        <x:v>Task 6</x:v>
      </x:c>
      <x:c r="E51" s="14" t="str">
        <x:v>GG_B4_Remote_Management is added to local Remote Management Users; this membership does not grant local administrator rights.</x:v>
      </x:c>
      <x:c r="F51" s="14" t="str">
        <x:v>Run locally: Get-LocalGroupMember 'Remote Management Users'; Get-LocalGroupMember Administrators</x:v>
      </x:c>
      <x:c r="G51" s="14" t="str">
        <x:v>GG_B4_Remote_Management is present only in the remote-management context, not as an admin bypass.</x:v>
      </x:c>
      <x:c r="H51" s="16" t="n">
        <x:v>0.2</x:v>
      </x:c>
      <x:c r="I51" s="16"/>
      <x:c r="J51" s="16" t="n">
        <x:f>IFERROR(H51*I51,0)</x:f>
        <x:v>0</x:v>
      </x:c>
      <x:c r="K51" s="14"/>
    </x:row>
    <x:row r="52">
      <x:c r="A52" s="14" t="str">
        <x:v>SHA-FS01</x:v>
      </x:c>
      <x:c r="B52" s="14" t="str">
        <x:v>Member server, security baseline target, WEF source</x:v>
      </x:c>
      <x:c r="C52" s="14" t="str">
        <x:v>SHA-FS01-04</x:v>
      </x:c>
      <x:c r="D52" s="14" t="str">
        <x:v>Task 9</x:v>
      </x:c>
      <x:c r="E52" s="14" t="str">
        <x:v>Windows Firewall is enabled and WinRM for administration is limited to the required internal management source 10.24.30.0/24.</x:v>
      </x:c>
      <x:c r="F52" s="14" t="str">
        <x:v>Run locally: Get-NetFirewallProfile; Get-NetFirewallRule/Get-NetFirewallAddressFilter for WinRM rules.</x:v>
      </x:c>
      <x:c r="G52" s="14" t="str">
        <x:v>Firewall profiles are enabled and WinRM management is not broadly exposed.</x:v>
      </x:c>
      <x:c r="H52" s="16" t="n">
        <x:v>0.25</x:v>
      </x:c>
      <x:c r="I52" s="16"/>
      <x:c r="J52" s="16" t="n">
        <x:f>IFERROR(H52*I52,0)</x:f>
        <x:v>0</x:v>
      </x:c>
      <x:c r="K52" s="14"/>
    </x:row>
    <x:row r="53">
      <x:c r="A53" s="14" t="str">
        <x:v>SHA-FS01</x:v>
      </x:c>
      <x:c r="B53" s="14" t="str">
        <x:v>Member server, security baseline target, WEF source</x:v>
      </x:c>
      <x:c r="C53" s="14" t="str">
        <x:v>SHA-FS01-05</x:v>
      </x:c>
      <x:c r="D53" s="14" t="str">
        <x:v>Task 9</x:v>
      </x:c>
      <x:c r="E53" s="14" t="str">
        <x:v>Local firewall configuration on SHA-FS01 does not include the external validation network in allowed management scopes for TCP/135, TCP/445, TCP/5985 or TCP/3389.</x:v>
      </x:c>
      <x:c r="F53" s="14" t="str">
        <x:v>Run locally: inspect Windows Firewall inbound rules and address filters for RPC/SMB/WinRM/RDP; result can be confirmed from INET-CL01 but the primary score here is firewall scope/configuration.</x:v>
      </x:c>
      <x:c r="G53" s="14" t="str">
        <x:v>Management rules are scoped to required internal management/WEF sources only. External blocking result itself is scored in the INET-CL01 block.</x:v>
      </x:c>
      <x:c r="H53" s="16" t="n">
        <x:v>0.15</x:v>
      </x:c>
      <x:c r="I53" s="16"/>
      <x:c r="J53" s="16" t="n">
        <x:f>IFERROR(H53*I53,0)</x:f>
        <x:v>0</x:v>
      </x:c>
      <x:c r="K53" s="14"/>
    </x:row>
    <x:row r="54">
      <x:c r="A54" s="14" t="str">
        <x:v>SHA-FS01</x:v>
      </x:c>
      <x:c r="B54" s="14" t="str">
        <x:v>Member server, security baseline target, WEF source</x:v>
      </x:c>
      <x:c r="C54" s="14" t="str">
        <x:v>SHA-FS01-06</x:v>
      </x:c>
      <x:c r="D54" s="14" t="str">
        <x:v>Task 10</x:v>
      </x:c>
      <x:c r="E54" s="14" t="str">
        <x:v>Microsoft Defender baseline is applied: real-time protection enabled/managed, daily quick scan at 12:30, and no forbidden broad exclusions.</x:v>
      </x:c>
      <x:c r="F54" s="14" t="str">
        <x:v>Run locally: Get-MpComputerStatus; Get-MpPreference</x:v>
      </x:c>
      <x:c r="G54" s="14" t="str">
        <x:v>Defender state, schedule and exclusions match the task.</x:v>
      </x:c>
      <x:c r="H54" s="16" t="n">
        <x:v>0.3</x:v>
      </x:c>
      <x:c r="I54" s="16"/>
      <x:c r="J54" s="16" t="n">
        <x:f>IFERROR(H54*I54,0)</x:f>
        <x:v>0</x:v>
      </x:c>
      <x:c r="K54" s="14"/>
    </x:row>
    <x:row r="55">
      <x:c r="A55" s="14" t="str">
        <x:v>SHA-FS01</x:v>
      </x:c>
      <x:c r="B55" s="14" t="str">
        <x:v>Member server, security baseline target, WEF source</x:v>
      </x:c>
      <x:c r="C55" s="14" t="str">
        <x:v>SHA-FS01-07</x:v>
      </x:c>
      <x:c r="D55" s="14" t="str">
        <x:v>Task 11</x:v>
      </x:c>
      <x:c r="E55" s="14" t="str">
        <x:v>Advanced Audit Policy, command line logging, file share audit, and Security log settings are applied on SHA-FS01.</x:v>
      </x:c>
      <x:c r="F55" s="14" t="str">
        <x:v>Run locally: auditpol /get /category:*; wevtutil gl Security; gpresult /r</x:v>
      </x:c>
      <x:c r="G55" s="14" t="str">
        <x:v>Required subcategories are enabled; Security log is at least 128 MB and overwrite mode is used.</x:v>
      </x:c>
      <x:c r="H55" s="16" t="n">
        <x:v>0.25</x:v>
      </x:c>
      <x:c r="I55" s="16"/>
      <x:c r="J55" s="16" t="n">
        <x:f>IFERROR(H55*I55,0)</x:f>
        <x:v>0</x:v>
      </x:c>
      <x:c r="K55" s="14"/>
    </x:row>
    <x:row r="56">
      <x:c r="A56" s="14" t="str">
        <x:v>SHA-FS01</x:v>
      </x:c>
      <x:c r="B56" s="14" t="str">
        <x:v>Member server, security baseline target, WEF source</x:v>
      </x:c>
      <x:c r="C56" s="14" t="str">
        <x:v>SHA-FS01-08</x:v>
      </x:c>
      <x:c r="D56" s="14" t="str">
        <x:v>Task 12</x:v>
      </x:c>
      <x:c r="E56" s="14" t="str">
        <x:v>SHA-FS01 is configured as a WEF source and can forward Security events to BJ-SRV01.</x:v>
      </x:c>
      <x:c r="F56" s="14" t="str">
        <x:v>Run locally: gpresult /r; inspect Subscription Manager policy and WinRM service; verify on BJ-SRV01 Forwarded Events.</x:v>
      </x:c>
      <x:c r="G56" s="14" t="str">
        <x:v>Current events from SHA-FS01 appear on the collector; transient setup warnings alone do not fail the aspect.</x:v>
      </x:c>
      <x:c r="H56" s="16" t="n">
        <x:v>0.35</x:v>
      </x:c>
      <x:c r="I56" s="16"/>
      <x:c r="J56" s="16" t="n">
        <x:f>IFERROR(H56*I56,0)</x:f>
        <x:v>0</x:v>
      </x:c>
      <x:c r="K56" s="14"/>
    </x:row>
    <x:row r="57">
      <x:c r="A57" s="14" t="str">
        <x:v>BJ-SRV01</x:v>
      </x:c>
      <x:c r="B57" s="14" t="str">
        <x:v>Member server, Windows Event Collector, WEF source</x:v>
      </x:c>
      <x:c r="C57" s="14" t="str">
        <x:v>BJ-SRV01-01</x:v>
      </x:c>
      <x:c r="D57" s="14" t="str">
        <x:v>Tasks 1 and 5</x:v>
      </x:c>
      <x:c r="E57" s="14" t="str">
        <x:v>Hostname, IP settings, domain join and OU placement are correct: 10.34.20.20/24, gateway 10.34.20.1, domain nb-b4.local, OU=Beijing,OU=00-Servers.</x:v>
      </x:c>
      <x:c r="F57" s="14" t="str">
        <x:v>Run locally: hostname; Get-NetIPConfiguration; whoami /fqdn; on DC check computer DN if needed.</x:v>
      </x:c>
      <x:c r="G57" s="14" t="str">
        <x:v>Server is a domain member in the required OU with correct IP configuration.</x:v>
      </x:c>
      <x:c r="H57" s="16" t="n">
        <x:v>0.25</x:v>
      </x:c>
      <x:c r="I57" s="16"/>
      <x:c r="J57" s="16" t="n">
        <x:f>IFERROR(H57*I57,0)</x:f>
        <x:v>0</x:v>
      </x:c>
      <x:c r="K57" s="14"/>
    </x:row>
    <x:row r="58">
      <x:c r="A58" s="14" t="str">
        <x:v>BJ-SRV01</x:v>
      </x:c>
      <x:c r="B58" s="14" t="str">
        <x:v>Member server, Windows Event Collector, WEF source</x:v>
      </x:c>
      <x:c r="C58" s="14" t="str">
        <x:v>BJ-SRV01-02</x:v>
      </x:c>
      <x:c r="D58" s="14" t="str">
        <x:v>Task 8</x:v>
      </x:c>
      <x:c r="E58" s="14" t="str">
        <x:v>Server local administrator model is applied: Domain Admins and GG_B4_Server_Admins have admin rights; helpdesk.b4, standard users, no-admin test group and workstation admins do not get server admin rights.</x:v>
      </x:c>
      <x:c r="F58" s="14" t="str">
        <x:v>Run locally: Get-LocalGroupMember Administrators; gpresult /r</x:v>
      </x:c>
      <x:c r="G58" s="14" t="str">
        <x:v>Allowed domain principals are present; disallowed principals are not granted local administrator rights.</x:v>
      </x:c>
      <x:c r="H58" s="16" t="n">
        <x:v>0.25</x:v>
      </x:c>
      <x:c r="I58" s="16"/>
      <x:c r="J58" s="16" t="n">
        <x:f>IFERROR(H58*I58,0)</x:f>
        <x:v>0</x:v>
      </x:c>
      <x:c r="K58" s="14"/>
    </x:row>
    <x:row r="59">
      <x:c r="A59" s="14" t="str">
        <x:v>BJ-SRV01</x:v>
      </x:c>
      <x:c r="B59" s="14" t="str">
        <x:v>Member server, Windows Event Collector, WEF source</x:v>
      </x:c>
      <x:c r="C59" s="14" t="str">
        <x:v>BJ-SRV01-03</x:v>
      </x:c>
      <x:c r="D59" s="14" t="str">
        <x:v>Task 6</x:v>
      </x:c>
      <x:c r="E59" s="14" t="str">
        <x:v>GG_B4_Remote_Management is added to local Remote Management Users and does not create an administrator bypass.</x:v>
      </x:c>
      <x:c r="F59" s="14" t="str">
        <x:v>Run locally: Get-LocalGroupMember 'Remote Management Users'; Get-LocalGroupMember Administrators</x:v>
      </x:c>
      <x:c r="G59" s="14" t="str">
        <x:v>Remote management group is present only where required and not in local Administrators unless separately authorized.</x:v>
      </x:c>
      <x:c r="H59" s="16" t="n">
        <x:v>0.2</x:v>
      </x:c>
      <x:c r="I59" s="16"/>
      <x:c r="J59" s="16" t="n">
        <x:f>IFERROR(H59*I59,0)</x:f>
        <x:v>0</x:v>
      </x:c>
      <x:c r="K59" s="14"/>
    </x:row>
    <x:row r="60">
      <x:c r="A60" s="14" t="str">
        <x:v>BJ-SRV01</x:v>
      </x:c>
      <x:c r="B60" s="14" t="str">
        <x:v>Member server, Windows Event Collector, WEF source</x:v>
      </x:c>
      <x:c r="C60" s="14" t="str">
        <x:v>BJ-SRV01-04</x:v>
      </x:c>
      <x:c r="D60" s="14" t="str">
        <x:v>Task 9</x:v>
      </x:c>
      <x:c r="E60" s="14" t="str">
        <x:v>Windows Firewall profiles are enabled; WinRM administration works from SHA-CL01/10.24.30.0/24 and is not broadly exposed.</x:v>
      </x:c>
      <x:c r="F60" s="14" t="str">
        <x:v>Run locally: Get-NetFirewallProfile; Get-NetFirewallRule/Get-NetFirewallAddressFilter for WinRM rules; from SHA-CL01 run Test-WSMan BJ-SRV01.</x:v>
      </x:c>
      <x:c r="G60" s="14" t="str">
        <x:v>Firewall and management access match the required model.</x:v>
      </x:c>
      <x:c r="H60" s="16" t="n">
        <x:v>0.3</x:v>
      </x:c>
      <x:c r="I60" s="16"/>
      <x:c r="J60" s="16" t="n">
        <x:f>IFERROR(H60*I60,0)</x:f>
        <x:v>0</x:v>
      </x:c>
      <x:c r="K60" s="14"/>
    </x:row>
    <x:row r="61">
      <x:c r="A61" s="14" t="str">
        <x:v>BJ-SRV01</x:v>
      </x:c>
      <x:c r="B61" s="14" t="str">
        <x:v>Member server, Windows Event Collector, WEF source</x:v>
      </x:c>
      <x:c r="C61" s="14" t="str">
        <x:v>BJ-SRV01-05</x:v>
      </x:c>
      <x:c r="D61" s="14" t="str">
        <x:v>Task 9</x:v>
      </x:c>
      <x:c r="E61" s="14" t="str">
        <x:v>WEF collector exception allows TCP/5985 to BJ-SRV01 only from the listed WEF source addresses/networks and local collector host.</x:v>
      </x:c>
      <x:c r="F61" s="14" t="str">
        <x:v>Run locally: inspect firewall address filters for WEF/WinRM collector rules.</x:v>
      </x:c>
      <x:c r="G61" s="14" t="str">
        <x:v>Allowed WEF source list matches 10.24.20.10, 10.34.20.10, 10.24.20.20, 10.24.30.0/24, 10.34.30.0/24 and local host; external validation client is not allowed.</x:v>
      </x:c>
      <x:c r="H61" s="16" t="n">
        <x:v>0.35</x:v>
      </x:c>
      <x:c r="I61" s="16"/>
      <x:c r="J61" s="16" t="n">
        <x:f>IFERROR(H61*I61,0)</x:f>
        <x:v>0</x:v>
      </x:c>
      <x:c r="K61" s="14"/>
    </x:row>
    <x:row r="62">
      <x:c r="A62" s="14" t="str">
        <x:v>BJ-SRV01</x:v>
      </x:c>
      <x:c r="B62" s="14" t="str">
        <x:v>Member server, Windows Event Collector, WEF source</x:v>
      </x:c>
      <x:c r="C62" s="14" t="str">
        <x:v>BJ-SRV01-06</x:v>
      </x:c>
      <x:c r="D62" s="14" t="str">
        <x:v>Task 12</x:v>
      </x:c>
      <x:c r="E62" s="14" t="str">
        <x:v>Windows Event Collector is initialized and the Wecsvc service starts automatically.</x:v>
      </x:c>
      <x:c r="F62" s="14" t="str">
        <x:v>Run locally: wecutil qc status/equivalent; Get-Service Wecsvc</x:v>
      </x:c>
      <x:c r="G62" s="14" t="str">
        <x:v>Wecsvc startup type is Automatic/Delayed or Automatic as configured; service is running.</x:v>
      </x:c>
      <x:c r="H62" s="16" t="n">
        <x:v>0.3</x:v>
      </x:c>
      <x:c r="I62" s="16"/>
      <x:c r="J62" s="16" t="n">
        <x:f>IFERROR(H62*I62,0)</x:f>
        <x:v>0</x:v>
      </x:c>
      <x:c r="K62" s="14"/>
    </x:row>
    <x:row r="63">
      <x:c r="A63" s="14" t="str">
        <x:v>BJ-SRV01</x:v>
      </x:c>
      <x:c r="B63" s="14" t="str">
        <x:v>Member server, Windows Event Collector, WEF source</x:v>
      </x:c>
      <x:c r="C63" s="14" t="str">
        <x:v>BJ-SRV01-07</x:v>
      </x:c>
      <x:c r="D63" s="14" t="str">
        <x:v>Task 12</x:v>
      </x:c>
      <x:c r="E63" s="14" t="str">
        <x:v>Subscription B4-Security-Events exists, uses source-initiated mode, and writes to Forwarded Events.</x:v>
      </x:c>
      <x:c r="F63" s="14" t="str">
        <x:v>Run locally: wecutil es; wecutil gs B4-Security-Events; Event Viewer → Subscriptions</x:v>
      </x:c>
      <x:c r="G63" s="14" t="str">
        <x:v>Subscription name, type and destination log match the task.</x:v>
      </x:c>
      <x:c r="H63" s="16" t="n">
        <x:v>0.5</x:v>
      </x:c>
      <x:c r="I63" s="16"/>
      <x:c r="J63" s="16" t="n">
        <x:f>IFERROR(H63*I63,0)</x:f>
        <x:v>0</x:v>
      </x:c>
      <x:c r="K63" s="14"/>
    </x:row>
    <x:row r="64">
      <x:c r="A64" s="14" t="str">
        <x:v>BJ-SRV01</x:v>
      </x:c>
      <x:c r="B64" s="14" t="str">
        <x:v>Member server, Windows Event Collector, WEF source</x:v>
      </x:c>
      <x:c r="C64" s="14" t="str">
        <x:v>BJ-SRV01-08</x:v>
      </x:c>
      <x:c r="D64" s="14" t="str">
        <x:v>Task 12</x:v>
      </x:c>
      <x:c r="E64" s="14" t="str">
        <x:v>Required WEF sources are represented in the subscription/source list: SHA-DC01, BJ-DC02, SHA-FS01, SHA-CL01 and BJ-CL01. BJ-SRV01 may be accepted as an explicit source or by confirmed local Security events on the collector.</x:v>
      </x:c>
      <x:c r="F64" s="14" t="str">
        <x:v>Run locally: wecutil gr B4-Security-Events or inspect subscription runtime status/Event Viewer; confirm remote sources are accepted or actively forwarding.</x:v>
      </x:c>
      <x:c r="G64" s="14" t="str">
        <x:v>Required remote source computers are accepted/forwarding by marking time. BJ-SRV01 self-source is not treated as a failure if local collector Security events are available and all remote sources work.</x:v>
      </x:c>
      <x:c r="H64" s="16" t="n">
        <x:v>0.4</x:v>
      </x:c>
      <x:c r="I64" s="16"/>
      <x:c r="J64" s="16" t="n">
        <x:f>IFERROR(H64*I64,0)</x:f>
        <x:v>0</x:v>
      </x:c>
      <x:c r="K64" s="14"/>
    </x:row>
    <x:row r="65">
      <x:c r="A65" s="14" t="str">
        <x:v>BJ-SRV01</x:v>
      </x:c>
      <x:c r="B65" s="14" t="str">
        <x:v>Member server, Windows Event Collector, WEF source</x:v>
      </x:c>
      <x:c r="C65" s="14" t="str">
        <x:v>BJ-SRV01-09</x:v>
      </x:c>
      <x:c r="D65" s="14" t="str">
        <x:v>Task 12</x:v>
      </x:c>
      <x:c r="E65" s="14" t="str">
        <x:v>Forwarded Events contains recent Security events from multiple sources, including domain controllers, member servers and workstations.</x:v>
      </x:c>
      <x:c r="F65" s="14" t="str">
        <x:v>Run locally: Get-WinEvent -LogName ForwardedEvents -MaxEvents 100 | Select ProviderName,MachineName,Id,TimeCreated</x:v>
      </x:c>
      <x:c r="G65" s="14" t="str">
        <x:v>Forwarded Events includes current records from the required device classes, not only local events.</x:v>
      </x:c>
      <x:c r="H65" s="16" t="n">
        <x:v>0.4</x:v>
      </x:c>
      <x:c r="I65" s="16"/>
      <x:c r="J65" s="16" t="n">
        <x:f>IFERROR(H65*I65,0)</x:f>
        <x:v>0</x:v>
      </x:c>
      <x:c r="K65" s="14"/>
    </x:row>
    <x:row r="66">
      <x:c r="A66" s="14" t="str">
        <x:v>BJ-SRV01</x:v>
      </x:c>
      <x:c r="B66" s="14" t="str">
        <x:v>Member server, Windows Event Collector, WEF source</x:v>
      </x:c>
      <x:c r="C66" s="14" t="str">
        <x:v>BJ-SRV01-10</x:v>
      </x:c>
      <x:c r="D66" s="14" t="str">
        <x:v>Tasks 12-13</x:v>
      </x:c>
      <x:c r="E66" s="14" t="str">
        <x:v>Forwarded Events contains relevant event IDs 4624, 4625, 4688, 4720, 4728 and 4729 after the Task 13 validation actions.</x:v>
      </x:c>
      <x:c r="F66" s="14" t="str">
        <x:v>Run locally after validation actions: Get-WinEvent -LogName ForwardedEvents | Where-Object Id -in 4624,4625,4688,4720,4728,4729</x:v>
      </x:c>
      <x:c r="G66" s="14" t="str">
        <x:v>Required event IDs are present after the performed validation actions. Each event ID does not have to appear from every source host.</x:v>
      </x:c>
      <x:c r="H66" s="16" t="n">
        <x:v>0.45</x:v>
      </x:c>
      <x:c r="I66" s="16"/>
      <x:c r="J66" s="16" t="n">
        <x:f>IFERROR(H66*I66,0)</x:f>
        <x:v>0</x:v>
      </x:c>
      <x:c r="K66" s="14"/>
    </x:row>
    <x:row r="67">
      <x:c r="A67" s="14" t="str">
        <x:v>BJ-SRV01</x:v>
      </x:c>
      <x:c r="B67" s="14" t="str">
        <x:v>Member server, Windows Event Collector, WEF source</x:v>
      </x:c>
      <x:c r="C67" s="14" t="str">
        <x:v>BJ-SRV01-11</x:v>
      </x:c>
      <x:c r="D67" s="14" t="str">
        <x:v>Task 12</x:v>
      </x:c>
      <x:c r="E67" s="14" t="str">
        <x:v>Security log forwarding works for the required WEF source hosts; Event Log Readers, GPO or equivalent channel access may be used as supporting evidence. No third-party monitoring agent is used.</x:v>
      </x:c>
      <x:c r="F67" s="14" t="str">
        <x:v>Run locally: verify Security events from required source hosts in Forwarded Events; inspect Event Log Readers/channel access/source policy settings only if forwarding evidence is unclear.</x:v>
      </x:c>
      <x:c r="G67" s="14" t="str">
        <x:v>Security events are actually received through Windows Event Forwarding. Third-party agents are not part of the solution.</x:v>
      </x:c>
      <x:c r="H67" s="16" t="n">
        <x:v>0.25</x:v>
      </x:c>
      <x:c r="I67" s="16"/>
      <x:c r="J67" s="16" t="n">
        <x:f>IFERROR(H67*I67,0)</x:f>
        <x:v>0</x:v>
      </x:c>
      <x:c r="K67" s="14"/>
    </x:row>
    <x:row r="68">
      <x:c r="A68" s="14" t="str">
        <x:v>BJ-SRV01</x:v>
      </x:c>
      <x:c r="B68" s="14" t="str">
        <x:v>Member server, Windows Event Collector, WEF source</x:v>
      </x:c>
      <x:c r="C68" s="14" t="str">
        <x:v>BJ-SRV01-12</x:v>
      </x:c>
      <x:c r="D68" s="14" t="str">
        <x:v>Task 10</x:v>
      </x:c>
      <x:c r="E68" s="14" t="str">
        <x:v>Microsoft Defender baseline is applied on BJ-SRV01.</x:v>
      </x:c>
      <x:c r="F68" s="14" t="str">
        <x:v>Run locally: Get-MpComputerStatus; Get-MpPreference</x:v>
      </x:c>
      <x:c r="G68" s="14" t="str">
        <x:v>Real-time protection, scan schedule and exclusions match the task.</x:v>
      </x:c>
      <x:c r="H68" s="16" t="n">
        <x:v>0.2</x:v>
      </x:c>
      <x:c r="I68" s="16"/>
      <x:c r="J68" s="16" t="n">
        <x:f>IFERROR(H68*I68,0)</x:f>
        <x:v>0</x:v>
      </x:c>
      <x:c r="K68" s="14"/>
    </x:row>
    <x:row r="69">
      <x:c r="A69" s="14" t="str">
        <x:v>BJ-SRV01</x:v>
      </x:c>
      <x:c r="B69" s="14" t="str">
        <x:v>Member server, Windows Event Collector, WEF source</x:v>
      </x:c>
      <x:c r="C69" s="14" t="str">
        <x:v>BJ-SRV01-13</x:v>
      </x:c>
      <x:c r="D69" s="14" t="str">
        <x:v>Task 11</x:v>
      </x:c>
      <x:c r="E69" s="14" t="str">
        <x:v>Advanced Audit Policy and Security log settings are applied on BJ-SRV01.</x:v>
      </x:c>
      <x:c r="F69" s="14" t="str">
        <x:v>Run locally: auditpol /get /category:*; wevtutil gl Security; gpresult /r</x:v>
      </x:c>
      <x:c r="G69" s="14" t="str">
        <x:v>Required subcategories are enabled; Security log is at least 128 MB and overwrite mode is used.</x:v>
      </x:c>
      <x:c r="H69" s="16" t="n">
        <x:v>0.3</x:v>
      </x:c>
      <x:c r="I69" s="16"/>
      <x:c r="J69" s="16" t="n">
        <x:f>IFERROR(H69*I69,0)</x:f>
        <x:v>0</x:v>
      </x:c>
      <x:c r="K69" s="14"/>
    </x:row>
    <x:row r="70">
      <x:c r="A70" s="14" t="str">
        <x:v>BJ-SRV01</x:v>
      </x:c>
      <x:c r="B70" s="14" t="str">
        <x:v>Member server, Windows Event Collector, WEF source</x:v>
      </x:c>
      <x:c r="C70" s="14" t="str">
        <x:v>BJ-SRV01-14</x:v>
      </x:c>
      <x:c r="D70" s="14" t="str">
        <x:v>Task 9</x:v>
      </x:c>
      <x:c r="E70" s="14" t="str">
        <x:v>Local firewall configuration on BJ-SRV01 does not include the external validation network in allowed management or WEF collector scopes for TCP/135, TCP/445, TCP/5985 or TCP/3389.</x:v>
      </x:c>
      <x:c r="F70" s="14" t="str">
        <x:v>Run locally: inspect Windows Firewall inbound rules/address filters for RPC/SMB/WinRM/RDP and WEF collector exception; use INET-CL01 block for final external reachability result.</x:v>
      </x:c>
      <x:c r="G70" s="14" t="str">
        <x:v>WEF TCP/5985 exception is limited to required internal WEF sources and does not include INET-CL01/external validation networks.</x:v>
      </x:c>
      <x:c r="H70" s="16" t="n">
        <x:v>0.15</x:v>
      </x:c>
      <x:c r="I70" s="16"/>
      <x:c r="J70" s="16" t="n">
        <x:f>IFERROR(H70*I70,0)</x:f>
        <x:v>0</x:v>
      </x:c>
      <x:c r="K70" s="14"/>
    </x:row>
    <x:row r="71">
      <x:c r="A71" s="14" t="str">
        <x:v>BJ-SRV01</x:v>
      </x:c>
      <x:c r="B71" s="14" t="str">
        <x:v>Member server, Windows Event Collector, WEF source</x:v>
      </x:c>
      <x:c r="C71" s="14" t="str">
        <x:v>BJ-SRV01-15</x:v>
      </x:c>
      <x:c r="D71" s="14" t="str">
        <x:v>Task 9</x:v>
      </x:c>
      <x:c r="E71" s="14" t="str">
        <x:v>Opening WEF TCP/5985 does not grant WEF source hosts administrative rights on BJ-SRV01.</x:v>
      </x:c>
      <x:c r="F71" s="14" t="str">
        <x:v>Run locally: inspect local Administrators, Remote Management Users, and test user rights if needed.</x:v>
      </x:c>
      <x:c r="G71" s="14" t="str">
        <x:v>WEF connectivity is separated from administrative authorization.</x:v>
      </x:c>
      <x:c r="H71" s="16" t="n">
        <x:v>0.1</x:v>
      </x:c>
      <x:c r="I71" s="16"/>
      <x:c r="J71" s="16" t="n">
        <x:f>IFERROR(H71*I71,0)</x:f>
        <x:v>0</x:v>
      </x:c>
      <x:c r="K71" s="14"/>
    </x:row>
    <x:row r="72">
      <x:c r="A72" s="14" t="str">
        <x:v>BJ-SRV01</x:v>
      </x:c>
      <x:c r="B72" s="14" t="str">
        <x:v>Member server, Windows Event Collector, WEF source</x:v>
      </x:c>
      <x:c r="C72" s="14" t="str">
        <x:v>BJ-SRV01-16</x:v>
      </x:c>
      <x:c r="D72" s="14" t="str">
        <x:v>Tasks 6 and 12</x:v>
      </x:c>
      <x:c r="E72" s="14" t="str">
        <x:v>auditor.b4 / GG_B4_Auditors can read Forwarded Events or audit evidence on BJ-SRV01 but does not receive local administrator rights.</x:v>
      </x:c>
      <x:c r="F72" s="14" t="str">
        <x:v>Run locally: check Event Log Readers or equivalent log-reader rights; test opening Event Viewer/Forwarded Events as auditor.b4 if needed; Get-LocalGroupMember Administrators.</x:v>
      </x:c>
      <x:c r="G72" s="14" t="str">
        <x:v>Auditor role can view collected audit events/evidence and is not a member of local Administrators.</x:v>
      </x:c>
      <x:c r="H72" s="16" t="n">
        <x:v>0.15</x:v>
      </x:c>
      <x:c r="I72" s="16"/>
      <x:c r="J72" s="16" t="n">
        <x:f>IFERROR(H72*I72,0)</x:f>
        <x:v>0</x:v>
      </x:c>
      <x:c r="K72" s="14"/>
    </x:row>
    <x:row r="73">
      <x:c r="A73" s="14" t="str">
        <x:v>SHA-CL01</x:v>
      </x:c>
      <x:c r="B73" s="14" t="str">
        <x:v>Admin workstation, RSAT, validation, WEF source</x:v>
      </x:c>
      <x:c r="C73" s="14" t="str">
        <x:v>SHA-CL01-01</x:v>
      </x:c>
      <x:c r="D73" s="14" t="str">
        <x:v>Tasks 4-5</x:v>
      </x:c>
      <x:c r="E73" s="14" t="str">
        <x:v>SHA-CL01 receives DHCP address and options from Shanghai scope: IP 10.24.30.120–10.24.30.200, gateway 10.24.30.1, DNS 10.24.20.10/10.34.20.10, suffix nb-b4.local.</x:v>
      </x:c>
      <x:c r="F73" s="14" t="str">
        <x:v>Run locally: ipconfig /all</x:v>
      </x:c>
      <x:c r="G73" s="14" t="str">
        <x:v>Lease and options match the Shanghai Client scope.</x:v>
      </x:c>
      <x:c r="H73" s="16" t="n">
        <x:v>0.3</x:v>
      </x:c>
      <x:c r="I73" s="16"/>
      <x:c r="J73" s="16" t="n">
        <x:f>IFERROR(H73*I73,0)</x:f>
        <x:v>0</x:v>
      </x:c>
      <x:c r="K73" s="14"/>
    </x:row>
    <x:row r="74">
      <x:c r="A74" s="14" t="str">
        <x:v>SHA-CL01</x:v>
      </x:c>
      <x:c r="B74" s="14" t="str">
        <x:v>Admin workstation, RSAT, validation, WEF source</x:v>
      </x:c>
      <x:c r="C74" s="14" t="str">
        <x:v>SHA-CL01-02</x:v>
      </x:c>
      <x:c r="D74" s="14" t="str">
        <x:v>Task 5</x:v>
      </x:c>
      <x:c r="E74" s="14" t="str">
        <x:v>SHA-CL01 is joined to nb-b4.local and placed in OU=Shanghai,OU=10-Workstations.</x:v>
      </x:c>
      <x:c r="F74" s="14" t="str">
        <x:v>Run locally: systeminfo | findstr Domain; whoami /fqdn; confirm computer DN on DC if needed.</x:v>
      </x:c>
      <x:c r="G74" s="14" t="str">
        <x:v>Computer account is in the required workstation OU.</x:v>
      </x:c>
      <x:c r="H74" s="16" t="n">
        <x:v>0.25</x:v>
      </x:c>
      <x:c r="I74" s="16"/>
      <x:c r="J74" s="16" t="n">
        <x:f>IFERROR(H74*I74,0)</x:f>
        <x:v>0</x:v>
      </x:c>
      <x:c r="K74" s="14"/>
    </x:row>
    <x:row r="75">
      <x:c r="A75" s="14" t="str">
        <x:v>SHA-CL01</x:v>
      </x:c>
      <x:c r="B75" s="14" t="str">
        <x:v>Admin workstation, RSAT, validation, WEF source</x:v>
      </x:c>
      <x:c r="C75" s="14" t="str">
        <x:v>SHA-CL01-03</x:v>
      </x:c>
      <x:c r="D75" s="14" t="str">
        <x:v>Task 5</x:v>
      </x:c>
      <x:c r="E75" s="14" t="str">
        <x:v>Minimum RSAT components for B4 are installed without using Internet: AD tools, DNS tools, DHCP tools, Group Policy Management, Server Manager.</x:v>
      </x:c>
      <x:c r="F75" s="14" t="str">
        <x:v>Run locally: Get-WindowsCapability -Online -Name Rsat*; check Windows Tools/RSAT consoles.</x:v>
      </x:c>
      <x:c r="G75" s="14" t="str">
        <x:v>Required RSAT capabilities are Installed and usable.</x:v>
      </x:c>
      <x:c r="H75" s="16" t="n">
        <x:v>0.3</x:v>
      </x:c>
      <x:c r="I75" s="16"/>
      <x:c r="J75" s="16" t="n">
        <x:f>IFERROR(H75*I75,0)</x:f>
        <x:v>0</x:v>
      </x:c>
      <x:c r="K75" s="14"/>
    </x:row>
    <x:row r="76">
      <x:c r="A76" s="14" t="str">
        <x:v>SHA-CL01</x:v>
      </x:c>
      <x:c r="B76" s="14" t="str">
        <x:v>Admin workstation, RSAT, validation, WEF source</x:v>
      </x:c>
      <x:c r="C76" s="14" t="str">
        <x:v>SHA-CL01-04</x:v>
      </x:c>
      <x:c r="D76" s="14" t="str">
        <x:v>Tasks 3 and 13</x:v>
      </x:c>
      <x:c r="E76" s="14" t="str">
        <x:v>SHA-CL01 resolves required names and CNAMEs through domain DNS.</x:v>
      </x:c>
      <x:c r="F76" s="14" t="str">
        <x:v>Run locally: Resolve-DnsName sha-dc01.nb-b4.local; Resolve-DnsName bj-srv01.nb-b4.local; Resolve-DnsName sec-mgmt.nb-b4.local; Resolve-DnsName eventlog.nb-b4.local</x:v>
      </x:c>
      <x:c r="G76" s="14" t="str">
        <x:v>All required names resolve to expected targets/addresses.</x:v>
      </x:c>
      <x:c r="H76" s="16" t="n">
        <x:v>0.25</x:v>
      </x:c>
      <x:c r="I76" s="16"/>
      <x:c r="J76" s="16" t="n">
        <x:f>IFERROR(H76*I76,0)</x:f>
        <x:v>0</x:v>
      </x:c>
      <x:c r="K76" s="14"/>
    </x:row>
    <x:row r="77">
      <x:c r="A77" s="14" t="str">
        <x:v>SHA-CL01</x:v>
      </x:c>
      <x:c r="B77" s="14" t="str">
        <x:v>Admin workstation, RSAT, validation, WEF source</x:v>
      </x:c>
      <x:c r="C77" s="14" t="str">
        <x:v>SHA-CL01-05</x:v>
      </x:c>
      <x:c r="D77" s="14" t="str">
        <x:v>Tasks 9 and 13</x:v>
      </x:c>
      <x:c r="E77" s="14" t="str">
        <x:v>Remote management from SHA-CL01 to SHA-DC01, BJ-DC02, SHA-FS01 and BJ-SRV01 works.</x:v>
      </x:c>
      <x:c r="F77" s="14" t="str">
        <x:v>Run locally: Test-WSMan SHA-DC01; Test-WSMan BJ-DC02; Test-WSMan SHA-FS01; Test-WSMan BJ-SRV01</x:v>
      </x:c>
      <x:c r="G77" s="14" t="str">
        <x:v>All four Test-WSMan checks succeed from SHA-CL01.</x:v>
      </x:c>
      <x:c r="H77" s="16" t="n">
        <x:v>0.35</x:v>
      </x:c>
      <x:c r="I77" s="16"/>
      <x:c r="J77" s="16" t="n">
        <x:f>IFERROR(H77*I77,0)</x:f>
        <x:v>0</x:v>
      </x:c>
      <x:c r="K77" s="14"/>
    </x:row>
    <x:row r="78">
      <x:c r="A78" s="14" t="str">
        <x:v>SHA-CL01</x:v>
      </x:c>
      <x:c r="B78" s="14" t="str">
        <x:v>Admin workstation, RSAT, validation, WEF source</x:v>
      </x:c>
      <x:c r="C78" s="14" t="str">
        <x:v>SHA-CL01-06</x:v>
      </x:c>
      <x:c r="D78" s="14" t="str">
        <x:v>Task 8</x:v>
      </x:c>
      <x:c r="E78" s="14" t="str">
        <x:v>Workstation local administrator model is applied to SHA-CL01: Domain Admins and GG_B4_Workstation_Admins are allowed; disallowed users/groups are not local admins.</x:v>
      </x:c>
      <x:c r="F78" s="14" t="str">
        <x:v>Run locally: Get-LocalGroupMember Administrators; gpresult /r</x:v>
      </x:c>
      <x:c r="G78" s="14" t="str">
        <x:v>Allowed workstation admin principals are present; helpdesk is only admin through the group, and standard/no-admin users are not administrators.</x:v>
      </x:c>
      <x:c r="H78" s="16" t="n">
        <x:v>0.3</x:v>
      </x:c>
      <x:c r="I78" s="16"/>
      <x:c r="J78" s="16" t="n">
        <x:f>IFERROR(H78*I78,0)</x:f>
        <x:v>0</x:v>
      </x:c>
      <x:c r="K78" s="14"/>
    </x:row>
    <x:row r="79">
      <x:c r="A79" s="14" t="str">
        <x:v>SHA-CL01</x:v>
      </x:c>
      <x:c r="B79" s="14" t="str">
        <x:v>Admin workstation, RSAT, validation, WEF source</x:v>
      </x:c>
      <x:c r="C79" s="14" t="str">
        <x:v>SHA-CL01-07</x:v>
      </x:c>
      <x:c r="D79" s="14" t="str">
        <x:v>Task 6</x:v>
      </x:c>
      <x:c r="E79" s="14" t="str">
        <x:v>GG_B4_Remote_Management is added to local Remote Management Users on SHA-CL01.</x:v>
      </x:c>
      <x:c r="F79" s="14" t="str">
        <x:v>Run locally: Get-LocalGroupMember 'Remote Management Users'</x:v>
      </x:c>
      <x:c r="G79" s="14" t="str">
        <x:v>Required group is present in Remote Management Users.</x:v>
      </x:c>
      <x:c r="H79" s="16" t="n">
        <x:v>0.15</x:v>
      </x:c>
      <x:c r="I79" s="16"/>
      <x:c r="J79" s="16" t="n">
        <x:f>IFERROR(H79*I79,0)</x:f>
        <x:v>0</x:v>
      </x:c>
      <x:c r="K79" s="14"/>
    </x:row>
    <x:row r="80">
      <x:c r="A80" s="14" t="str">
        <x:v>SHA-CL01</x:v>
      </x:c>
      <x:c r="B80" s="14" t="str">
        <x:v>Admin workstation, RSAT, validation, WEF source</x:v>
      </x:c>
      <x:c r="C80" s="14" t="str">
        <x:v>SHA-CL01-08</x:v>
      </x:c>
      <x:c r="D80" s="14" t="str">
        <x:v>Tasks 7-8</x:v>
      </x:c>
      <x:c r="E80" s="14" t="str">
        <x:v>gpresult confirms account policy/GPOs are applied to SHA-CL01 and local administrator GPO does not affect Domain Controllers.</x:v>
      </x:c>
      <x:c r="F80" s="14" t="str">
        <x:v>Run locally: gpresult /r; gpresult /h C:\Skills\B4\gpresult.html</x:v>
      </x:c>
      <x:c r="G80" s="14" t="str">
        <x:v>Relevant workstation policies apply and GPO scope is correct.</x:v>
      </x:c>
      <x:c r="H80" s="16" t="n">
        <x:v>0.25</x:v>
      </x:c>
      <x:c r="I80" s="16"/>
      <x:c r="J80" s="16" t="n">
        <x:f>IFERROR(H80*I80,0)</x:f>
        <x:v>0</x:v>
      </x:c>
      <x:c r="K80" s="14"/>
    </x:row>
    <x:row r="81">
      <x:c r="A81" s="14" t="str">
        <x:v>SHA-CL01</x:v>
      </x:c>
      <x:c r="B81" s="14" t="str">
        <x:v>Admin workstation, RSAT, validation, WEF source</x:v>
      </x:c>
      <x:c r="C81" s="14" t="str">
        <x:v>SHA-CL01-09</x:v>
      </x:c>
      <x:c r="D81" s="14" t="str">
        <x:v>Task 13</x:v>
      </x:c>
      <x:c r="E81" s="14" t="str">
        <x:v>Security validation confirms sec.admin1 can administer servers/workstations and helpdesk.b4 can administer workstations through GG_B4_Workstation_Admins.</x:v>
      </x:c>
      <x:c r="F81" s="14" t="str">
        <x:v>Run locally/RSAT: sign in/run elevated tools with test accounts or inspect effective local group membership.</x:v>
      </x:c>
      <x:c r="G81" s="14" t="str">
        <x:v>Expected admin capability exists only for the allowed accounts/groups.</x:v>
      </x:c>
      <x:c r="H81" s="16" t="n">
        <x:v>0.3</x:v>
      </x:c>
      <x:c r="I81" s="16"/>
      <x:c r="J81" s="16" t="n">
        <x:f>IFERROR(H81*I81,0)</x:f>
        <x:v>0</x:v>
      </x:c>
      <x:c r="K81" s="14"/>
    </x:row>
    <x:row r="82">
      <x:c r="A82" s="14" t="str">
        <x:v>SHA-CL01</x:v>
      </x:c>
      <x:c r="B82" s="14" t="str">
        <x:v>Admin workstation, RSAT, validation, WEF source</x:v>
      </x:c>
      <x:c r="C82" s="14" t="str">
        <x:v>SHA-CL01-10</x:v>
      </x:c>
      <x:c r="D82" s="14" t="str">
        <x:v>Task 13</x:v>
      </x:c>
      <x:c r="E82" s="14" t="str">
        <x:v>Security validation confirms helpdesk.b4 is not a local administrator on member servers; user.sh01 and blocked.admin are not local administrators.</x:v>
      </x:c>
      <x:c r="F82" s="14" t="str">
        <x:v>Run local checks on target devices or inspect group policy/effective membership evidence from SHA-CL01.</x:v>
      </x:c>
      <x:c r="G82" s="14" t="str">
        <x:v>No disallowed user receives local administrator privileges.</x:v>
      </x:c>
      <x:c r="H82" s="16" t="n">
        <x:v>0.3</x:v>
      </x:c>
      <x:c r="I82" s="16"/>
      <x:c r="J82" s="16" t="n">
        <x:f>IFERROR(H82*I82,0)</x:f>
        <x:v>0</x:v>
      </x:c>
      <x:c r="K82" s="14"/>
    </x:row>
    <x:row r="83">
      <x:c r="A83" s="14" t="str">
        <x:v>SHA-CL01</x:v>
      </x:c>
      <x:c r="B83" s="14" t="str">
        <x:v>Admin workstation, RSAT, validation, WEF source</x:v>
      </x:c>
      <x:c r="C83" s="14" t="str">
        <x:v>SHA-CL01-11</x:v>
      </x:c>
      <x:c r="D83" s="14" t="str">
        <x:v>Task 10</x:v>
      </x:c>
      <x:c r="E83" s="14" t="str">
        <x:v>Microsoft Defender baseline is applied on SHA-CL01.</x:v>
      </x:c>
      <x:c r="F83" s="14" t="str">
        <x:v>Run locally: Get-MpComputerStatus; Get-MpPreference</x:v>
      </x:c>
      <x:c r="G83" s="14" t="str">
        <x:v>Real-time protection, policy behavior, scan schedule and exclusions match the task.</x:v>
      </x:c>
      <x:c r="H83" s="16" t="n">
        <x:v>0.25</x:v>
      </x:c>
      <x:c r="I83" s="16"/>
      <x:c r="J83" s="16" t="n">
        <x:f>IFERROR(H83*I83,0)</x:f>
        <x:v>0</x:v>
      </x:c>
      <x:c r="K83" s="14"/>
    </x:row>
    <x:row r="84">
      <x:c r="A84" s="14" t="str">
        <x:v>SHA-CL01</x:v>
      </x:c>
      <x:c r="B84" s="14" t="str">
        <x:v>Admin workstation, RSAT, validation, WEF source</x:v>
      </x:c>
      <x:c r="C84" s="14" t="str">
        <x:v>SHA-CL01-12</x:v>
      </x:c>
      <x:c r="D84" s="14" t="str">
        <x:v>Task 11</x:v>
      </x:c>
      <x:c r="E84" s="14" t="str">
        <x:v>Advanced Audit Policy, command line logging and Security log settings are applied on SHA-CL01.</x:v>
      </x:c>
      <x:c r="F84" s="14" t="str">
        <x:v>Run locally: auditpol /get /category:*; wevtutil gl Security; gpresult /r</x:v>
      </x:c>
      <x:c r="G84" s="14" t="str">
        <x:v>Required subcategories are enabled; Security log is at least 64 MB and overwrite mode is used.</x:v>
      </x:c>
      <x:c r="H84" s="16" t="n">
        <x:v>0.3</x:v>
      </x:c>
      <x:c r="I84" s="16"/>
      <x:c r="J84" s="16" t="n">
        <x:f>IFERROR(H84*I84,0)</x:f>
        <x:v>0</x:v>
      </x:c>
      <x:c r="K84" s="14"/>
    </x:row>
    <x:row r="85">
      <x:c r="A85" s="14" t="str">
        <x:v>SHA-CL01</x:v>
      </x:c>
      <x:c r="B85" s="14" t="str">
        <x:v>Admin workstation, RSAT, validation, WEF source</x:v>
      </x:c>
      <x:c r="C85" s="14" t="str">
        <x:v>SHA-CL01-13</x:v>
      </x:c>
      <x:c r="D85" s="14" t="str">
        <x:v>Task 12</x:v>
      </x:c>
      <x:c r="E85" s="14" t="str">
        <x:v>SHA-CL01 is configured as a WEF source and forwards relevant events to BJ-SRV01.</x:v>
      </x:c>
      <x:c r="F85" s="14" t="str">
        <x:v>Run locally: gpresult /r; inspect Subscription Manager policy and WinRM service; verify on BJ-SRV01.</x:v>
      </x:c>
      <x:c r="G85" s="14" t="str">
        <x:v>Current events from SHA-CL01 appear in Forwarded Events.</x:v>
      </x:c>
      <x:c r="H85" s="16" t="n">
        <x:v>0.35</x:v>
      </x:c>
      <x:c r="I85" s="16"/>
      <x:c r="J85" s="16" t="n">
        <x:f>IFERROR(H85*I85,0)</x:f>
        <x:v>0</x:v>
      </x:c>
      <x:c r="K85" s="14"/>
    </x:row>
    <x:row r="86">
      <x:c r="A86" s="14" t="str">
        <x:v>SHA-CL01</x:v>
      </x:c>
      <x:c r="B86" s="14" t="str">
        <x:v>Admin workstation, RSAT, validation, WEF source</x:v>
      </x:c>
      <x:c r="C86" s="14" t="str">
        <x:v>SHA-CL01-14</x:v>
      </x:c>
      <x:c r="D86" s="14" t="str">
        <x:v>Task 13</x:v>
      </x:c>
      <x:c r="E86" s="14" t="str">
        <x:v>Validation actions generate successful/failed logon and group/user management events used by the WEF check.</x:v>
      </x:c>
      <x:c r="F86" s="14" t="str">
        <x:v>Run locally/RSAT: perform the user.sh01 successful and failed logon tests, create b4.wef.test, add/remove it from GG_B4_Standard_Users.</x:v>
      </x:c>
      <x:c r="G86" s="14" t="str">
        <x:v>Actions are completed and corresponding events can be located locally or on the collector.</x:v>
      </x:c>
      <x:c r="H86" s="16" t="n">
        <x:v>0.35</x:v>
      </x:c>
      <x:c r="I86" s="16"/>
      <x:c r="J86" s="16" t="n">
        <x:f>IFERROR(H86*I86,0)</x:f>
        <x:v>0</x:v>
      </x:c>
      <x:c r="K86" s="14"/>
    </x:row>
    <x:row r="87">
      <x:c r="A87" s="14" t="str">
        <x:v>SHA-CL01</x:v>
      </x:c>
      <x:c r="B87" s="14" t="str">
        <x:v>Admin workstation, RSAT, validation, WEF source</x:v>
      </x:c>
      <x:c r="C87" s="14" t="str">
        <x:v>SHA-CL01-15</x:v>
      </x:c>
      <x:c r="D87" s="14" t="str">
        <x:v>Task 13</x:v>
      </x:c>
      <x:c r="E87" s="14" t="str">
        <x:v>Validation evidence is saved or available on SHA-CL01, including gpresult and concise notes for manual judging.</x:v>
      </x:c>
      <x:c r="F87" s="14" t="str">
        <x:v>Run locally: check C:\Skills\B4 or desktop evidence provided by the participant.</x:v>
      </x:c>
      <x:c r="G87" s="14" t="str">
        <x:v>Evidence supports the required security validation without relying on remote checker execution.</x:v>
      </x:c>
      <x:c r="H87" s="16" t="n">
        <x:v>0.15</x:v>
      </x:c>
      <x:c r="I87" s="16"/>
      <x:c r="J87" s="16" t="n">
        <x:f>IFERROR(H87*I87,0)</x:f>
        <x:v>0</x:v>
      </x:c>
      <x:c r="K87" s="14"/>
    </x:row>
    <x:row r="88">
      <x:c r="A88" s="14" t="str">
        <x:v>BJ-CL01</x:v>
      </x:c>
      <x:c r="B88" s="14" t="str">
        <x:v>Branch workstation, validation, WEF source</x:v>
      </x:c>
      <x:c r="C88" s="14" t="str">
        <x:v>BJ-CL01-01</x:v>
      </x:c>
      <x:c r="D88" s="14" t="str">
        <x:v>Tasks 4-5</x:v>
      </x:c>
      <x:c r="E88" s="14" t="str">
        <x:v>BJ-CL01 receives DHCP address and options from Beijing scope: IP 10.34.30.120–10.34.30.200, gateway 10.34.30.1, DNS 10.34.20.10/10.24.20.10, suffix nb-b4.local.</x:v>
      </x:c>
      <x:c r="F88" s="14" t="str">
        <x:v>Run locally: ipconfig /all</x:v>
      </x:c>
      <x:c r="G88" s="14" t="str">
        <x:v>Lease and options match the Beijing Client scope.</x:v>
      </x:c>
      <x:c r="H88" s="16" t="n">
        <x:v>0.3</x:v>
      </x:c>
      <x:c r="I88" s="16"/>
      <x:c r="J88" s="16" t="n">
        <x:f>IFERROR(H88*I88,0)</x:f>
        <x:v>0</x:v>
      </x:c>
      <x:c r="K88" s="14"/>
    </x:row>
    <x:row r="89">
      <x:c r="A89" s="14" t="str">
        <x:v>BJ-CL01</x:v>
      </x:c>
      <x:c r="B89" s="14" t="str">
        <x:v>Branch workstation, validation, WEF source</x:v>
      </x:c>
      <x:c r="C89" s="14" t="str">
        <x:v>BJ-CL01-02</x:v>
      </x:c>
      <x:c r="D89" s="14" t="str">
        <x:v>Task 5</x:v>
      </x:c>
      <x:c r="E89" s="14" t="str">
        <x:v>BJ-CL01 is joined to nb-b4.local and placed in OU=Beijing,OU=10-Workstations.</x:v>
      </x:c>
      <x:c r="F89" s="14" t="str">
        <x:v>Run locally: systeminfo | findstr Domain; whoami /fqdn; confirm computer DN on DC if needed.</x:v>
      </x:c>
      <x:c r="G89" s="14" t="str">
        <x:v>Computer account is in the required workstation OU.</x:v>
      </x:c>
      <x:c r="H89" s="16" t="n">
        <x:v>0.25</x:v>
      </x:c>
      <x:c r="I89" s="16"/>
      <x:c r="J89" s="16" t="n">
        <x:f>IFERROR(H89*I89,0)</x:f>
        <x:v>0</x:v>
      </x:c>
      <x:c r="K89" s="14"/>
    </x:row>
    <x:row r="90">
      <x:c r="A90" s="14" t="str">
        <x:v>BJ-CL01</x:v>
      </x:c>
      <x:c r="B90" s="14" t="str">
        <x:v>Branch workstation, validation, WEF source</x:v>
      </x:c>
      <x:c r="C90" s="14" t="str">
        <x:v>BJ-CL01-03</x:v>
      </x:c>
      <x:c r="D90" s="14" t="str">
        <x:v>Task 8</x:v>
      </x:c>
      <x:c r="E90" s="14" t="str">
        <x:v>Workstation local administrator model is applied to BJ-CL01.</x:v>
      </x:c>
      <x:c r="F90" s="14" t="str">
        <x:v>Run locally: Get-LocalGroupMember Administrators; gpresult /r</x:v>
      </x:c>
      <x:c r="G90" s="14" t="str">
        <x:v>Domain Admins and GG_B4_Workstation_Admins are allowed; disallowed users/groups are not local admins.</x:v>
      </x:c>
      <x:c r="H90" s="16" t="n">
        <x:v>0.25</x:v>
      </x:c>
      <x:c r="I90" s="16"/>
      <x:c r="J90" s="16" t="n">
        <x:f>IFERROR(H90*I90,0)</x:f>
        <x:v>0</x:v>
      </x:c>
      <x:c r="K90" s="14"/>
    </x:row>
    <x:row r="91">
      <x:c r="A91" s="14" t="str">
        <x:v>BJ-CL01</x:v>
      </x:c>
      <x:c r="B91" s="14" t="str">
        <x:v>Branch workstation, validation, WEF source</x:v>
      </x:c>
      <x:c r="C91" s="14" t="str">
        <x:v>BJ-CL01-04</x:v>
      </x:c>
      <x:c r="D91" s="14" t="str">
        <x:v>Task 10</x:v>
      </x:c>
      <x:c r="E91" s="14" t="str">
        <x:v>Microsoft Defender baseline is applied on BJ-CL01.</x:v>
      </x:c>
      <x:c r="F91" s="14" t="str">
        <x:v>Run locally: Get-MpComputerStatus; Get-MpPreference</x:v>
      </x:c>
      <x:c r="G91" s="14" t="str">
        <x:v>Real-time protection, schedule and exclusions match the task.</x:v>
      </x:c>
      <x:c r="H91" s="16" t="n">
        <x:v>0.2</x:v>
      </x:c>
      <x:c r="I91" s="16"/>
      <x:c r="J91" s="16" t="n">
        <x:f>IFERROR(H91*I91,0)</x:f>
        <x:v>0</x:v>
      </x:c>
      <x:c r="K91" s="14"/>
    </x:row>
    <x:row r="92">
      <x:c r="A92" s="14" t="str">
        <x:v>BJ-CL01</x:v>
      </x:c>
      <x:c r="B92" s="14" t="str">
        <x:v>Branch workstation, validation, WEF source</x:v>
      </x:c>
      <x:c r="C92" s="14" t="str">
        <x:v>BJ-CL01-05</x:v>
      </x:c>
      <x:c r="D92" s="14" t="str">
        <x:v>Task 11</x:v>
      </x:c>
      <x:c r="E92" s="14" t="str">
        <x:v>Advanced Audit Policy and Security log settings are applied on BJ-CL01.</x:v>
      </x:c>
      <x:c r="F92" s="14" t="str">
        <x:v>Run locally: auditpol /get /category:*; wevtutil gl Security; gpresult /r</x:v>
      </x:c>
      <x:c r="G92" s="14" t="str">
        <x:v>Required subcategories are enabled; Security log is at least 64 MB and overwrite mode is used.</x:v>
      </x:c>
      <x:c r="H92" s="16" t="n">
        <x:v>0.2</x:v>
      </x:c>
      <x:c r="I92" s="16"/>
      <x:c r="J92" s="16" t="n">
        <x:f>IFERROR(H92*I92,0)</x:f>
        <x:v>0</x:v>
      </x:c>
      <x:c r="K92" s="14"/>
    </x:row>
    <x:row r="93">
      <x:c r="A93" s="14" t="str">
        <x:v>BJ-CL01</x:v>
      </x:c>
      <x:c r="B93" s="14" t="str">
        <x:v>Branch workstation, validation, WEF source</x:v>
      </x:c>
      <x:c r="C93" s="14" t="str">
        <x:v>BJ-CL01-06</x:v>
      </x:c>
      <x:c r="D93" s="14" t="str">
        <x:v>Task 12</x:v>
      </x:c>
      <x:c r="E93" s="14" t="str">
        <x:v>BJ-CL01 is configured as a WEF source and forwards relevant events to BJ-SRV01.</x:v>
      </x:c>
      <x:c r="F93" s="14" t="str">
        <x:v>Run locally: gpresult /r; inspect Subscription Manager policy and WinRM service; verify on BJ-SRV01.</x:v>
      </x:c>
      <x:c r="G93" s="14" t="str">
        <x:v>Current events from BJ-CL01 appear in Forwarded Events.</x:v>
      </x:c>
      <x:c r="H93" s="16" t="n">
        <x:v>0.3</x:v>
      </x:c>
      <x:c r="I93" s="16"/>
      <x:c r="J93" s="16" t="n">
        <x:f>IFERROR(H93*I93,0)</x:f>
        <x:v>0</x:v>
      </x:c>
      <x:c r="K93" s="14"/>
    </x:row>
    <x:row r="94">
      <x:c r="A94" s="14" t="str">
        <x:v>INET-CL01</x:v>
      </x:c>
      <x:c r="B94" s="14" t="str">
        <x:v>External validation client</x:v>
      </x:c>
      <x:c r="C94" s="14" t="str">
        <x:v>INET-CL01-01</x:v>
      </x:c>
      <x:c r="D94" s="14" t="str">
        <x:v>Tasks 9 and 13</x:v>
      </x:c>
      <x:c r="E94" s="14" t="str">
        <x:v>From INET-CL01, management ports TCP/135, TCP/445, TCP/5985 and TCP/3389 are blocked to SHA-DC01 at 10.24.20.10.</x:v>
      </x:c>
      <x:c r="F94" s="14" t="str">
        <x:v>Run locally on INET-CL01: Test-NetConnection 10.24.20.10 -Port 135/445/5985/3389</x:v>
      </x:c>
      <x:c r="G94" s="14" t="str">
        <x:v>All tested connections fail; use IP addresses so result is not a DNS test.</x:v>
      </x:c>
      <x:c r="H94" s="16" t="n">
        <x:v>0.25</x:v>
      </x:c>
      <x:c r="I94" s="16"/>
      <x:c r="J94" s="16" t="n">
        <x:f>IFERROR(H94*I94,0)</x:f>
        <x:v>0</x:v>
      </x:c>
      <x:c r="K94" s="14"/>
    </x:row>
    <x:row r="95">
      <x:c r="A95" s="14" t="str">
        <x:v>INET-CL01</x:v>
      </x:c>
      <x:c r="B95" s="14" t="str">
        <x:v>External validation client</x:v>
      </x:c>
      <x:c r="C95" s="14" t="str">
        <x:v>INET-CL01-02</x:v>
      </x:c>
      <x:c r="D95" s="14" t="str">
        <x:v>Tasks 9 and 13</x:v>
      </x:c>
      <x:c r="E95" s="14" t="str">
        <x:v>From INET-CL01, management ports TCP/135, TCP/445, TCP/5985 and TCP/3389 are blocked to BJ-DC02 at 10.34.20.10.</x:v>
      </x:c>
      <x:c r="F95" s="14" t="str">
        <x:v>Run locally on INET-CL01: Test-NetConnection 10.34.20.10 -Port 135/445/5985/3389</x:v>
      </x:c>
      <x:c r="G95" s="14" t="str">
        <x:v>All tested connections fail.</x:v>
      </x:c>
      <x:c r="H95" s="16" t="n">
        <x:v>0.25</x:v>
      </x:c>
      <x:c r="I95" s="16"/>
      <x:c r="J95" s="16" t="n">
        <x:f>IFERROR(H95*I95,0)</x:f>
        <x:v>0</x:v>
      </x:c>
      <x:c r="K95" s="14"/>
    </x:row>
    <x:row r="96">
      <x:c r="A96" s="14" t="str">
        <x:v>INET-CL01</x:v>
      </x:c>
      <x:c r="B96" s="14" t="str">
        <x:v>External validation client</x:v>
      </x:c>
      <x:c r="C96" s="14" t="str">
        <x:v>INET-CL01-03</x:v>
      </x:c>
      <x:c r="D96" s="14" t="str">
        <x:v>Tasks 9 and 13</x:v>
      </x:c>
      <x:c r="E96" s="14" t="str">
        <x:v>From INET-CL01, management ports TCP/135, TCP/445, TCP/5985 and TCP/3389 are blocked to SHA-FS01 at 10.24.20.20.</x:v>
      </x:c>
      <x:c r="F96" s="14" t="str">
        <x:v>Run locally on INET-CL01: Test-NetConnection 10.24.20.20 -Port 135/445/5985/3389</x:v>
      </x:c>
      <x:c r="G96" s="14" t="str">
        <x:v>All tested connections fail.</x:v>
      </x:c>
      <x:c r="H96" s="16" t="n">
        <x:v>0.25</x:v>
      </x:c>
      <x:c r="I96" s="16"/>
      <x:c r="J96" s="16" t="n">
        <x:f>IFERROR(H96*I96,0)</x:f>
        <x:v>0</x:v>
      </x:c>
      <x:c r="K96" s="14"/>
    </x:row>
    <x:row r="97">
      <x:c r="A97" s="14" t="str">
        <x:v>INET-CL01</x:v>
      </x:c>
      <x:c r="B97" s="14" t="str">
        <x:v>External validation client</x:v>
      </x:c>
      <x:c r="C97" s="14" t="str">
        <x:v>INET-CL01-04</x:v>
      </x:c>
      <x:c r="D97" s="14" t="str">
        <x:v>Tasks 9 and 13</x:v>
      </x:c>
      <x:c r="E97" s="14" t="str">
        <x:v>From INET-CL01, management ports TCP/135, TCP/445, TCP/5985 and TCP/3389 are blocked to BJ-SRV01 at 10.34.20.20, including the WEF/WinRM port.</x:v>
      </x:c>
      <x:c r="F97" s="14" t="str">
        <x:v>Run locally on INET-CL01: Test-NetConnection 10.34.20.20 -Port 135/445/5985/3389</x:v>
      </x:c>
      <x:c r="G97" s="14" t="str">
        <x:v>All tested connections fail; BJ-SRV01 WEF exception does not allow INET-CL01.</x:v>
      </x:c>
      <x:c r="H97" s="16" t="n">
        <x:v>0.35</x:v>
      </x:c>
      <x:c r="I97" s="16"/>
      <x:c r="J97" s="16" t="n">
        <x:f>IFERROR(H97*I97,0)</x:f>
        <x:v>0</x:v>
      </x:c>
      <x:c r="K97" s="14"/>
    </x:row>
    <x:row r="98">
      <x:c r="A98" s="14" t="str">
        <x:v>INET-CL01</x:v>
      </x:c>
      <x:c r="B98" s="14" t="str">
        <x:v>External validation client</x:v>
      </x:c>
      <x:c r="C98" s="14" t="str">
        <x:v>INET-CL01-05</x:v>
      </x:c>
      <x:c r="D98" s="14" t="str">
        <x:v>Task 9</x:v>
      </x:c>
      <x:c r="E98" s="14" t="str">
        <x:v>External validation checks are performed by IP address and therefore do not depend on DNS for internal names.</x:v>
      </x:c>
      <x:c r="F98" s="14" t="str">
        <x:v>Review validation notes/commands or run Test-NetConnection commands manually.</x:v>
      </x:c>
      <x:c r="G98" s="14" t="str">
        <x:v>Checks use 10.24.20.10, 10.34.20.10, 10.24.20.20 and 10.34.20.20.</x:v>
      </x:c>
      <x:c r="H98" s="16" t="n">
        <x:v>0.05</x:v>
      </x:c>
      <x:c r="I98" s="16"/>
      <x:c r="J98" s="16" t="n">
        <x:f>IFERROR(H98*I98,0)</x:f>
        <x:v>0</x:v>
      </x:c>
      <x:c r="K98" s="14"/>
    </x:row>
    <x:row r="99">
      <x:c r="A99" s="14" t="str">
        <x:v>SHA-CL01 — Local submission</x:v>
      </x:c>
      <x:c r="B99" s="14" t="str">
        <x:v>Local evidence folder C:\Skills\B4</x:v>
      </x:c>
      <x:c r="C99" s="14" t="str">
        <x:v>SUB-01</x:v>
      </x:c>
      <x:c r="D99" s="14" t="str">
        <x:v>Task 14</x:v>
      </x:c>
      <x:c r="E99" s="14" t="str">
        <x:v>C:\Skills\B4 exists on SHA-CL01.</x:v>
      </x:c>
      <x:c r="F99" s="14" t="str">
        <x:v>Run locally: Test-Path C:\Skills\B4</x:v>
      </x:c>
      <x:c r="G99" s="14" t="str">
        <x:v>Folder exists.</x:v>
      </x:c>
      <x:c r="H99" s="16" t="n">
        <x:v>0.1</x:v>
      </x:c>
      <x:c r="I99" s="16"/>
      <x:c r="J99" s="16" t="n">
        <x:f>IFERROR(H99*I99,0)</x:f>
        <x:v>0</x:v>
      </x:c>
      <x:c r="K99" s="14"/>
    </x:row>
    <x:row r="100">
      <x:c r="A100" s="14" t="str">
        <x:v>SHA-CL01 — Local submission</x:v>
      </x:c>
      <x:c r="B100" s="14" t="str">
        <x:v>Local evidence folder C:\Skills\B4</x:v>
      </x:c>
      <x:c r="C100" s="14" t="str">
        <x:v>SUB-02</x:v>
      </x:c>
      <x:c r="D100" s="14" t="str">
        <x:v>Task 14</x:v>
      </x:c>
      <x:c r="E100" s="14" t="str">
        <x:v>B4-foundation.ps1 is present and reflects hostname, IP addressing, routing, AD DS, DNS, DHCP and domain join work.</x:v>
      </x:c>
      <x:c r="F100" s="14" t="str">
        <x:v>Open the file and compare with the implemented configuration.</x:v>
      </x:c>
      <x:c r="G100" s="14" t="str">
        <x:v>File exists and contains relevant commands/notes for foundation setup.</x:v>
      </x:c>
      <x:c r="H100" s="16" t="n">
        <x:v>0.12</x:v>
      </x:c>
      <x:c r="I100" s="16"/>
      <x:c r="J100" s="16" t="n">
        <x:f>IFERROR(H100*I100,0)</x:f>
        <x:v>0</x:v>
      </x:c>
      <x:c r="K100" s="14"/>
    </x:row>
    <x:row r="101">
      <x:c r="A101" s="14" t="str">
        <x:v>SHA-CL01 — Local submission</x:v>
      </x:c>
      <x:c r="B101" s="14" t="str">
        <x:v>Local evidence folder C:\Skills\B4</x:v>
      </x:c>
      <x:c r="C101" s="14" t="str">
        <x:v>SUB-03</x:v>
      </x:c>
      <x:c r="D101" s="14" t="str">
        <x:v>Task 14</x:v>
      </x:c>
      <x:c r="E101" s="14" t="str">
        <x:v>B4-ad-objects.ps1 is present and reflects OU, groups, users and memberships.</x:v>
      </x:c>
      <x:c r="F101" s="14" t="str">
        <x:v>Open the file and compare with AD objects.</x:v>
      </x:c>
      <x:c r="G101" s="14" t="str">
        <x:v>File exists and matches the implemented AD model.</x:v>
      </x:c>
      <x:c r="H101" s="16" t="n">
        <x:v>0.1</x:v>
      </x:c>
      <x:c r="I101" s="16"/>
      <x:c r="J101" s="16" t="n">
        <x:f>IFERROR(H101*I101,0)</x:f>
        <x:v>0</x:v>
      </x:c>
      <x:c r="K101" s="14"/>
    </x:row>
    <x:row r="102">
      <x:c r="A102" s="14" t="str">
        <x:v>SHA-CL01 — Local submission</x:v>
      </x:c>
      <x:c r="B102" s="14" t="str">
        <x:v>Local evidence folder C:\Skills\B4</x:v>
      </x:c>
      <x:c r="C102" s="14" t="str">
        <x:v>SUB-04</x:v>
      </x:c>
      <x:c r="D102" s="14" t="str">
        <x:v>Task 14</x:v>
      </x:c>
      <x:c r="E102" s="14" t="str">
        <x:v>B4-gpo-account-policy.ps1 and B4-gpo-local-admins.ps1 are present.</x:v>
      </x:c>
      <x:c r="F102" s="14" t="str">
        <x:v>Run locally: Get-ChildItem C:\Skills\B4\B4-gpo-*.ps1</x:v>
      </x:c>
      <x:c r="G102" s="14" t="str">
        <x:v>Both required GPO script files exist and are relevant.</x:v>
      </x:c>
      <x:c r="H102" s="16" t="n">
        <x:v>0.12</x:v>
      </x:c>
      <x:c r="I102" s="16"/>
      <x:c r="J102" s="16" t="n">
        <x:f>IFERROR(H102*I102,0)</x:f>
        <x:v>0</x:v>
      </x:c>
      <x:c r="K102" s="14"/>
    </x:row>
    <x:row r="103">
      <x:c r="A103" s="14" t="str">
        <x:v>SHA-CL01 — Local submission</x:v>
      </x:c>
      <x:c r="B103" s="14" t="str">
        <x:v>Local evidence folder C:\Skills\B4</x:v>
      </x:c>
      <x:c r="C103" s="14" t="str">
        <x:v>SUB-05</x:v>
      </x:c>
      <x:c r="D103" s="14" t="str">
        <x:v>Task 14</x:v>
      </x:c>
      <x:c r="E103" s="14" t="str">
        <x:v>B4-firewall-remoting.ps1 is present and covers firewall, WinRM and WEF collector exception logic.</x:v>
      </x:c>
      <x:c r="F103" s="14" t="str">
        <x:v>Open the file and compare with firewall/WinRM settings.</x:v>
      </x:c>
      <x:c r="G103" s="14" t="str">
        <x:v>File exists and reflects the implemented configuration.</x:v>
      </x:c>
      <x:c r="H103" s="16" t="n">
        <x:v>0.12</x:v>
      </x:c>
      <x:c r="I103" s="16"/>
      <x:c r="J103" s="16" t="n">
        <x:f>IFERROR(H103*I103,0)</x:f>
        <x:v>0</x:v>
      </x:c>
      <x:c r="K103" s="14"/>
    </x:row>
    <x:row r="104">
      <x:c r="A104" s="14" t="str">
        <x:v>SHA-CL01 — Local submission</x:v>
      </x:c>
      <x:c r="B104" s="14" t="str">
        <x:v>Local evidence folder C:\Skills\B4</x:v>
      </x:c>
      <x:c r="C104" s="14" t="str">
        <x:v>SUB-06</x:v>
      </x:c>
      <x:c r="D104" s="14" t="str">
        <x:v>Task 14</x:v>
      </x:c>
      <x:c r="E104" s="14" t="str">
        <x:v>B4-defender-baseline.ps1 is present and covers Defender baseline settings.</x:v>
      </x:c>
      <x:c r="F104" s="14" t="str">
        <x:v>Open the file and compare with Defender settings.</x:v>
      </x:c>
      <x:c r="G104" s="14" t="str">
        <x:v>File exists and reflects real-time protection, scan schedule and exclusion configuration.</x:v>
      </x:c>
      <x:c r="H104" s="16" t="n">
        <x:v>0.1</x:v>
      </x:c>
      <x:c r="I104" s="16"/>
      <x:c r="J104" s="16" t="n">
        <x:f>IFERROR(H104*I104,0)</x:f>
        <x:v>0</x:v>
      </x:c>
      <x:c r="K104" s="14"/>
    </x:row>
    <x:row r="105">
      <x:c r="A105" s="14" t="str">
        <x:v>SHA-CL01 — Local submission</x:v>
      </x:c>
      <x:c r="B105" s="12" t="str">
        <x:v>Local evidence folder C:\Skills\B4</x:v>
      </x:c>
      <x:c r="C105" s="12" t="str">
        <x:v>SUB-07</x:v>
      </x:c>
      <x:c r="D105" s="12" t="str">
        <x:v>Task 14</x:v>
      </x:c>
      <x:c r="E105" s="12" t="str">
        <x:v>B4-audit-policy.ps1 is present and covers Advanced Audit Policy and Security log settings.</x:v>
      </x:c>
      <x:c r="F105" s="12" t="str">
        <x:v>Open the file and compare with auditpol/wevtutil results.</x:v>
      </x:c>
      <x:c r="G105" s="12" t="str">
        <x:v>File exists and reflects audit and log configuration.</x:v>
      </x:c>
      <x:c r="H105" s="74" t="n">
        <x:v>0.1</x:v>
      </x:c>
      <x:c r="I105" s="74"/>
      <x:c r="J105" s="74" t="n">
        <x:f>IFERROR(H105*I105,0)</x:f>
        <x:v>0</x:v>
      </x:c>
      <x:c r="K105" s="12"/>
    </x:row>
    <x:row r="106">
      <x:c r="A106" s="14" t="str">
        <x:v>SHA-CL01 — Local submission</x:v>
      </x:c>
      <x:c r="B106" s="12" t="str">
        <x:v>Local evidence folder C:\Skills\B4</x:v>
      </x:c>
      <x:c r="C106" s="12" t="str">
        <x:v>SUB-08</x:v>
      </x:c>
      <x:c r="D106" s="12" t="str">
        <x:v>Task 14</x:v>
      </x:c>
      <x:c r="E106" s="12" t="str">
        <x:v>B4-wef.ps1 is present and covers Windows Event Collector and subscription configuration.</x:v>
      </x:c>
      <x:c r="F106" s="12" t="str">
        <x:v>Open the file and compare with wecutil/Event Viewer settings.</x:v>
      </x:c>
      <x:c r="G106" s="12" t="str">
        <x:v>File exists and reflects WEC, subscription and source-initiated configuration.</x:v>
      </x:c>
      <x:c r="H106" s="74" t="n">
        <x:v>0.12</x:v>
      </x:c>
      <x:c r="I106" s="74"/>
      <x:c r="J106" s="74" t="n">
        <x:f>IFERROR(H106*I106,0)</x:f>
        <x:v>0</x:v>
      </x:c>
      <x:c r="K106" s="12"/>
    </x:row>
    <x:row r="107">
      <x:c r="A107" s="14" t="str">
        <x:v>SHA-CL01 — Local submission</x:v>
      </x:c>
      <x:c r="B107" s="12" t="str">
        <x:v>Local evidence folder C:\Skills\B4</x:v>
      </x:c>
      <x:c r="C107" s="12" t="str">
        <x:v>SUB-09</x:v>
      </x:c>
      <x:c r="D107" s="12" t="str">
        <x:v>Task 14</x:v>
      </x:c>
      <x:c r="E107" s="12" t="str">
        <x:v>B4-validation.txt is present with final validation commands and short results.</x:v>
      </x:c>
      <x:c r="F107" s="12" t="str">
        <x:v>Open C:\Skills\B4\B4-validation.txt.</x:v>
      </x:c>
      <x:c r="G107" s="12" t="str">
        <x:v>File contains concise evidence for domain, DNS, DHCP, GPO, firewall, Defender, audit, WEF and external blocking tests.</x:v>
      </x:c>
      <x:c r="H107" s="74" t="n">
        <x:v>0.12</x:v>
      </x:c>
      <x:c r="I107" s="74"/>
      <x:c r="J107" s="74" t="n">
        <x:f>IFERROR(H107*I107,0)</x:f>
        <x:v>0</x:v>
      </x:c>
      <x:c r="K107" s="12"/>
    </x:row>
    <x:row r="108">
      <x:c r="A108" s="59"/>
    </x:row>
    <x:row r="109">
      <x:c r="A109" s="59"/>
    </x:row>
    <x:row r="110">
      <x:c r="A110" s="59"/>
    </x:row>
    <x:row r="111">
      <x:c r="A111" s="59"/>
    </x:row>
    <x:row r="112">
      <x:c r="A112" s="59"/>
    </x:row>
    <x:row r="113">
      <x:c r="A113" s="59"/>
    </x:row>
    <x:row r="114">
      <x:c r="A114" s="59"/>
    </x:row>
    <x:row r="115">
      <x:c r="A115" s="59"/>
    </x:row>
    <x:row r="116">
      <x:c r="A116" s="59"/>
    </x:row>
    <x:row r="117">
      <x:c r="A117" s="59"/>
    </x:row>
    <x:row r="118">
      <x:c r="A118" s="59"/>
    </x:row>
    <x:row r="119">
      <x:c r="A119" s="59"/>
    </x:row>
    <x:row r="120">
      <x:c r="A120" s="59"/>
    </x:row>
    <x:row r="121">
      <x:c r="A121" s="59"/>
    </x:row>
    <x:row r="122">
      <x:c r="A122" s="59"/>
    </x:row>
    <x:row r="123">
      <x:c r="A123" s="59"/>
    </x:row>
    <x:row r="124">
      <x:c r="A124" s="59"/>
    </x:row>
    <x:row r="125">
      <x:c r="A125" s="59"/>
    </x:row>
    <x:row r="126">
      <x:c r="A126" s="59"/>
    </x:row>
    <x:row r="127">
      <x:c r="A127" s="59"/>
    </x:row>
    <x:row r="128">
      <x:c r="A128" s="59"/>
    </x:row>
    <x:row r="129">
      <x:c r="A129" s="59"/>
    </x:row>
    <x:row r="130">
      <x:c r="A130" s="59"/>
    </x:row>
    <x:row r="131">
      <x:c r="A131" s="59"/>
    </x:row>
    <x:row r="132">
      <x:c r="A132" s="59"/>
    </x:row>
    <x:row r="133">
      <x:c r="A133" s="59"/>
    </x:row>
    <x:row r="134">
      <x:c r="A134" s="59"/>
    </x:row>
    <x:row r="135">
      <x:c r="A135" s="59"/>
    </x:row>
    <x:row r="136">
      <x:c r="A136" s="59"/>
    </x:row>
    <x:row r="137">
      <x:c r="A137" s="59"/>
    </x:row>
    <x:row r="138">
      <x:c r="A138" s="59"/>
    </x:row>
    <x:row r="139">
      <x:c r="A139" s="59"/>
    </x:row>
    <x:row r="140">
      <x:c r="A140" s="59"/>
    </x:row>
    <x:row r="141">
      <x:c r="A141" s="59"/>
    </x:row>
    <x:row r="142">
      <x:c r="A142" s="59"/>
    </x:row>
    <x:row r="143">
      <x:c r="A143" s="59"/>
    </x:row>
    <x:row r="144">
      <x:c r="A144" s="59"/>
    </x:row>
    <x:row r="145">
      <x:c r="A145" s="59"/>
    </x:row>
    <x:row r="146">
      <x:c r="A146" s="59"/>
    </x:row>
    <x:row r="147">
      <x:c r="A147" s="59"/>
    </x:row>
    <x:row r="148">
      <x:c r="A148" s="59"/>
    </x:row>
    <x:row r="149">
      <x:c r="A149" s="59"/>
    </x:row>
    <x:row r="150">
      <x:c r="A150" s="59"/>
    </x:row>
    <x:row r="151">
      <x:c r="A151" s="59"/>
    </x:row>
    <x:row r="152">
      <x:c r="A152" s="59"/>
    </x:row>
    <x:row r="153">
      <x:c r="A153" s="59"/>
    </x:row>
    <x:row r="154">
      <x:c r="A154" s="59"/>
    </x:row>
    <x:row r="155">
      <x:c r="A155" s="59"/>
    </x:row>
    <x:row r="156">
      <x:c r="A156" s="59"/>
    </x:row>
    <x:row r="157">
      <x:c r="A157" s="59"/>
    </x:row>
    <x:row r="158">
      <x:c r="A158" s="59"/>
    </x:row>
    <x:row r="159">
      <x:c r="A159" s="59"/>
    </x:row>
    <x:row r="160">
      <x:c r="A160" s="59"/>
    </x:row>
    <x:row r="161">
      <x:c r="A161" s="59"/>
    </x:row>
    <x:row r="162">
      <x:c r="A162" s="59"/>
    </x:row>
    <x:row r="163">
      <x:c r="A163" s="59"/>
    </x:row>
    <x:row r="164">
      <x:c r="A164" s="59"/>
    </x:row>
    <x:row r="165">
      <x:c r="A165" s="59"/>
    </x:row>
    <x:row r="166">
      <x:c r="A166" s="59"/>
    </x:row>
    <x:row r="167">
      <x:c r="A167" s="59"/>
    </x:row>
    <x:row r="168">
      <x:c r="A168" s="59"/>
    </x:row>
    <x:row r="169">
      <x:c r="A169" s="59"/>
    </x:row>
    <x:row r="170">
      <x:c r="A170" s="59"/>
    </x:row>
    <x:row r="171">
      <x:c r="A171" s="59"/>
    </x:row>
    <x:row r="172">
      <x:c r="A172" s="59"/>
    </x:row>
    <x:row r="173">
      <x:c r="A173" s="59"/>
    </x:row>
    <x:row r="174">
      <x:c r="A174" s="59"/>
    </x:row>
    <x:row r="175">
      <x:c r="A175" s="59"/>
    </x:row>
    <x:row r="176">
      <x:c r="A176" s="59"/>
    </x:row>
    <x:row r="177">
      <x:c r="A177" s="59"/>
    </x:row>
    <x:row r="178">
      <x:c r="A178" s="59"/>
    </x:row>
    <x:row r="179">
      <x:c r="A179" s="59"/>
    </x:row>
    <x:row r="180">
      <x:c r="A180" s="59"/>
    </x:row>
    <x:row r="181">
      <x:c r="A181" s="59"/>
    </x:row>
    <x:row r="182">
      <x:c r="A182" s="59"/>
    </x:row>
    <x:row r="183">
      <x:c r="A183" s="59"/>
    </x:row>
    <x:row r="184">
      <x:c r="A184" s="59"/>
    </x:row>
    <x:row r="185">
      <x:c r="A185" s="59"/>
    </x:row>
    <x:row r="186">
      <x:c r="A186" s="59"/>
    </x:row>
    <x:row r="187">
      <x:c r="A187" s="59"/>
    </x:row>
    <x:row r="188">
      <x:c r="A188" s="59"/>
    </x:row>
    <x:row r="189">
      <x:c r="A189" s="59"/>
    </x:row>
    <x:row r="190">
      <x:c r="A190" s="59"/>
    </x:row>
    <x:row r="191">
      <x:c r="A191" s="59"/>
    </x:row>
    <x:row r="192">
      <x:c r="A192" s="59"/>
    </x:row>
    <x:row r="193">
      <x:c r="A193" s="59"/>
    </x:row>
    <x:row r="194">
      <x:c r="A194" s="59"/>
    </x:row>
    <x:row r="195">
      <x:c r="A195" s="59"/>
    </x:row>
    <x:row r="196">
      <x:c r="A196" s="59"/>
    </x:row>
    <x:row r="197">
      <x:c r="A197" s="59"/>
    </x:row>
    <x:row r="198">
      <x:c r="A198" s="59"/>
    </x:row>
    <x:row r="199">
      <x:c r="A199" s="59"/>
    </x:row>
    <x:row r="200">
      <x:c r="A200" s="59"/>
    </x:row>
  </x:sheetData>
  <x:dataValidations count="1">
    <x:dataValidation type="decimal" operator="between" sqref="I2:I10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8b94fe230b947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36" hidden="0" customWidth="1"/>
  </x:cols>
  <x:sheetData>
    <x:row r="1">
      <x:c r="A1" s="73" t="str">
        <x:v>Device / check location</x:v>
      </x:c>
      <x:c r="B1" s="73" t="str">
        <x:v>Number of aspects</x:v>
      </x:c>
      <x:c r="C1" s="73" t="str">
        <x:v>Max points</x:v>
      </x:c>
      <x:c r="D1" s="73" t="str">
        <x:v>Awarded points</x:v>
      </x:c>
      <x:c r="E1" s="73" t="str">
        <x:v>Status / comments</x:v>
      </x:c>
    </x:row>
    <x:row r="2">
      <x:c r="A2" s="14" t="str">
        <x:v>SHA-RTR01</x:v>
      </x:c>
      <x:c r="B2" s="78" t="n">
        <x:f>COUNTIF('Device Marking Scheme'!$A:$A,A2)</x:f>
        <x:v>6</x:v>
      </x:c>
      <x:c r="C2" s="74" t="n">
        <x:f>SUMIF('Device Marking Scheme'!$A:$A,A2,'Device Marking Scheme'!$H:$H)</x:f>
        <x:v>1.5</x:v>
      </x:c>
      <x:c r="D2" s="74" t="n">
        <x:f>SUMIF('Device Marking Scheme'!$A:$A,A2,'Device Marking Scheme'!$J:$J)</x:f>
        <x:v>0</x:v>
      </x:c>
      <x:c r="E2" s="12" t="str"/>
    </x:row>
    <x:row r="3">
      <x:c r="A3" s="14" t="str">
        <x:v>BJ-RTR01</x:v>
      </x:c>
      <x:c r="B3" s="78" t="n">
        <x:f>COUNTIF('Device Marking Scheme'!$A:$A,A3)</x:f>
        <x:v>6</x:v>
      </x:c>
      <x:c r="C3" s="74" t="n">
        <x:f>SUMIF('Device Marking Scheme'!$A:$A,A3,'Device Marking Scheme'!$H:$H)</x:f>
        <x:v>1.2500000000000002</x:v>
      </x:c>
      <x:c r="D3" s="74" t="n">
        <x:f>SUMIF('Device Marking Scheme'!$A:$A,A3,'Device Marking Scheme'!$J:$J)</x:f>
        <x:v>0</x:v>
      </x:c>
      <x:c r="E3" s="12" t="str"/>
    </x:row>
    <x:row r="4">
      <x:c r="A4" s="14" t="str">
        <x:v>SHA-DC01</x:v>
      </x:c>
      <x:c r="B4" s="78" t="n">
        <x:f>COUNTIF('Device Marking Scheme'!$A:$A,A4)</x:f>
        <x:v>24</x:v>
      </x:c>
      <x:c r="C4" s="74" t="n">
        <x:f>SUMIF('Device Marking Scheme'!$A:$A,A4,'Device Marking Scheme'!$H:$H)</x:f>
        <x:v>4.750000000000002</x:v>
      </x:c>
      <x:c r="D4" s="74" t="n">
        <x:f>SUMIF('Device Marking Scheme'!$A:$A,A4,'Device Marking Scheme'!$J:$J)</x:f>
        <x:v>0</x:v>
      </x:c>
      <x:c r="E4" s="12" t="str"/>
    </x:row>
    <x:row r="5">
      <x:c r="A5" s="14" t="str">
        <x:v>BJ-DC02</x:v>
      </x:c>
      <x:c r="B5" s="78" t="n">
        <x:f>COUNTIF('Device Marking Scheme'!$A:$A,A5)</x:f>
        <x:v>11</x:v>
      </x:c>
      <x:c r="C5" s="74" t="n">
        <x:f>SUMIF('Device Marking Scheme'!$A:$A,A5,'Device Marking Scheme'!$H:$H)</x:f>
        <x:v>3.0000000000000004</x:v>
      </x:c>
      <x:c r="D5" s="74" t="n">
        <x:f>SUMIF('Device Marking Scheme'!$A:$A,A5,'Device Marking Scheme'!$J:$J)</x:f>
        <x:v>0</x:v>
      </x:c>
      <x:c r="E5" s="12" t="str"/>
    </x:row>
    <x:row r="6">
      <x:c r="A6" s="14" t="str">
        <x:v>SHA-FS01</x:v>
      </x:c>
      <x:c r="B6" s="78" t="n">
        <x:f>COUNTIF('Device Marking Scheme'!$A:$A,A6)</x:f>
        <x:v>8</x:v>
      </x:c>
      <x:c r="C6" s="74" t="n">
        <x:f>SUMIF('Device Marking Scheme'!$A:$A,A6,'Device Marking Scheme'!$H:$H)</x:f>
        <x:v>2.15</x:v>
      </x:c>
      <x:c r="D6" s="74" t="n">
        <x:f>SUMIF('Device Marking Scheme'!$A:$A,A6,'Device Marking Scheme'!$J:$J)</x:f>
        <x:v>0</x:v>
      </x:c>
      <x:c r="E6" s="12" t="str"/>
    </x:row>
    <x:row r="7">
      <x:c r="A7" s="14" t="str">
        <x:v>BJ-SRV01</x:v>
      </x:c>
      <x:c r="B7" s="78" t="n">
        <x:f>COUNTIF('Device Marking Scheme'!$A:$A,A7)</x:f>
        <x:v>16</x:v>
      </x:c>
      <x:c r="C7" s="74" t="n">
        <x:f>SUMIF('Device Marking Scheme'!$A:$A,A7,'Device Marking Scheme'!$H:$H)</x:f>
        <x:v>4.550000000000001</x:v>
      </x:c>
      <x:c r="D7" s="74" t="n">
        <x:f>SUMIF('Device Marking Scheme'!$A:$A,A7,'Device Marking Scheme'!$J:$J)</x:f>
        <x:v>0</x:v>
      </x:c>
      <x:c r="E7" s="12" t="str"/>
    </x:row>
    <x:row r="8">
      <x:c r="A8" s="14" t="str">
        <x:v>SHA-CL01</x:v>
      </x:c>
      <x:c r="B8" s="78" t="n">
        <x:f>COUNTIF('Device Marking Scheme'!$A:$A,A8)</x:f>
        <x:v>15</x:v>
      </x:c>
      <x:c r="C8" s="74" t="n">
        <x:f>SUMIF('Device Marking Scheme'!$A:$A,A8,'Device Marking Scheme'!$H:$H)</x:f>
        <x:v>4.15</x:v>
      </x:c>
      <x:c r="D8" s="74" t="n">
        <x:f>SUMIF('Device Marking Scheme'!$A:$A,A8,'Device Marking Scheme'!$J:$J)</x:f>
        <x:v>0</x:v>
      </x:c>
      <x:c r="E8" s="12" t="str"/>
    </x:row>
    <x:row r="9">
      <x:c r="A9" s="14" t="str">
        <x:v>BJ-CL01</x:v>
      </x:c>
      <x:c r="B9" s="78" t="n">
        <x:f>COUNTIF('Device Marking Scheme'!$A:$A,A9)</x:f>
        <x:v>6</x:v>
      </x:c>
      <x:c r="C9" s="74" t="n">
        <x:f>SUMIF('Device Marking Scheme'!$A:$A,A9,'Device Marking Scheme'!$H:$H)</x:f>
        <x:v>1.5</x:v>
      </x:c>
      <x:c r="D9" s="74" t="n">
        <x:f>SUMIF('Device Marking Scheme'!$A:$A,A9,'Device Marking Scheme'!$J:$J)</x:f>
        <x:v>0</x:v>
      </x:c>
      <x:c r="E9" s="12" t="str"/>
    </x:row>
    <x:row r="10">
      <x:c r="A10" s="14" t="str">
        <x:v>INET-CL01</x:v>
      </x:c>
      <x:c r="B10" s="78" t="n">
        <x:f>COUNTIF('Device Marking Scheme'!$A:$A,A10)</x:f>
        <x:v>5</x:v>
      </x:c>
      <x:c r="C10" s="74" t="n">
        <x:f>SUMIF('Device Marking Scheme'!$A:$A,A10,'Device Marking Scheme'!$H:$H)</x:f>
        <x:v>1.1500000000000001</x:v>
      </x:c>
      <x:c r="D10" s="74" t="n">
        <x:f>SUMIF('Device Marking Scheme'!$A:$A,A10,'Device Marking Scheme'!$J:$J)</x:f>
        <x:v>0</x:v>
      </x:c>
      <x:c r="E10" s="12" t="str"/>
    </x:row>
    <x:row r="11">
      <x:c r="A11" s="14" t="str">
        <x:v>SHA-CL01 — Local submission</x:v>
      </x:c>
      <x:c r="B11" s="78" t="n">
        <x:f>COUNTIF('Device Marking Scheme'!$A:$A,A11)</x:f>
        <x:v>9</x:v>
      </x:c>
      <x:c r="C11" s="74" t="n">
        <x:f>SUMIF('Device Marking Scheme'!$A:$A,A11,'Device Marking Scheme'!$H:$H)</x:f>
        <x:v>1</x:v>
      </x:c>
      <x:c r="D11" s="74" t="n">
        <x:f>SUMIF('Device Marking Scheme'!$A:$A,A11,'Device Marking Scheme'!$J:$J)</x:f>
        <x:v>0</x:v>
      </x:c>
      <x:c r="E11" s="12" t="str"/>
    </x:row>
    <x:row r="12">
      <x:c r="A12" s="76" t="str">
        <x:v>TOTAL</x:v>
      </x:c>
      <x:c r="B12" s="79" t="n">
        <x:f>SUM(B2:B11)</x:f>
        <x:v>106</x:v>
      </x:c>
      <x:c r="C12" s="77" t="n">
        <x:f>SUM(C2:C11)</x:f>
        <x:v>25</x:v>
      </x:c>
      <x:c r="D12" s="77" t="n">
        <x:f>SUM(D2:D11)</x:f>
        <x:v>0</x:v>
      </x:c>
      <x:c r="E12" s="77" t="str"/>
    </x:row>
    <x:row r="13">
      <x:c r="A13" s="59"/>
    </x:row>
    <x:row r="14">
      <x:c r="A14" s="59"/>
    </x:row>
    <x:row r="15">
      <x:c r="A15" s="59"/>
    </x:row>
    <x:row r="16">
      <x:c r="A16" s="59"/>
    </x:row>
    <x:row r="17">
      <x:c r="A17" s="59"/>
    </x:row>
    <x:row r="18">
      <x:c r="A18" s="59"/>
    </x:row>
    <x:row r="19">
      <x:c r="A19" s="59"/>
    </x:row>
    <x:row r="20">
      <x:c r="A20" s="59"/>
    </x:row>
    <x:row r="21">
      <x:c r="A21" s="59"/>
    </x:row>
    <x:row r="22">
      <x:c r="A22" s="59"/>
    </x:row>
    <x:row r="23">
      <x:c r="A23" s="59"/>
    </x:row>
    <x:row r="24">
      <x:c r="A24" s="59"/>
    </x:row>
    <x:row r="25">
      <x:c r="A25" s="59"/>
    </x:row>
    <x:row r="26">
      <x:c r="A26" s="59"/>
    </x:row>
    <x:row r="27">
      <x:c r="A27" s="59"/>
    </x:row>
    <x:row r="28">
      <x:c r="A28" s="59"/>
    </x:row>
    <x:row r="29">
      <x:c r="A29" s="59"/>
    </x:row>
    <x:row r="30">
      <x:c r="A30" s="59"/>
    </x:row>
    <x:row r="31">
      <x:c r="A31" s="59"/>
    </x:row>
    <x:row r="32">
      <x:c r="A32" s="59"/>
    </x:row>
    <x:row r="33">
      <x:c r="A33" s="59"/>
    </x:row>
    <x:row r="34">
      <x:c r="A34" s="59"/>
    </x:row>
    <x:row r="35">
      <x:c r="A35" s="59"/>
    </x:row>
    <x:row r="36">
      <x:c r="A36" s="59"/>
    </x:row>
    <x:row r="37">
      <x:c r="A37" s="59"/>
    </x:row>
    <x:row r="38">
      <x:c r="A38" s="59"/>
    </x:row>
    <x:row r="39">
      <x:c r="A39" s="59"/>
    </x:row>
    <x:row r="40">
      <x:c r="A40" s="59"/>
    </x:row>
    <x:row r="41">
      <x:c r="A41" s="59"/>
    </x:row>
    <x:row r="42">
      <x:c r="A42" s="59"/>
    </x:row>
    <x:row r="43">
      <x:c r="A43" s="59"/>
    </x:row>
    <x:row r="44">
      <x:c r="A44" s="59"/>
    </x:row>
    <x:row r="45">
      <x:c r="A45" s="59"/>
    </x:row>
    <x:row r="46">
      <x:c r="A46" s="59"/>
    </x:row>
    <x:row r="47">
      <x:c r="A47" s="59"/>
    </x:row>
    <x:row r="48">
      <x:c r="A48" s="59"/>
    </x:row>
    <x:row r="49">
      <x:c r="A49" s="59"/>
    </x:row>
    <x:row r="50">
      <x:c r="A50" s="59"/>
    </x:row>
    <x:row r="51">
      <x:c r="A51" s="59"/>
    </x:row>
    <x:row r="52">
      <x:c r="A52" s="59"/>
    </x:row>
    <x:row r="53">
      <x:c r="A53" s="59"/>
    </x:row>
    <x:row r="54">
      <x:c r="A54" s="59"/>
    </x:row>
    <x:row r="55">
      <x:c r="A55" s="59"/>
    </x:row>
    <x:row r="56">
      <x:c r="A56" s="59"/>
    </x:row>
    <x:row r="57">
      <x:c r="A57" s="59"/>
    </x:row>
    <x:row r="58">
      <x:c r="A58" s="59"/>
    </x:row>
    <x:row r="59">
      <x:c r="A59" s="59"/>
    </x:row>
    <x:row r="60">
      <x:c r="A60" s="59"/>
    </x:row>
    <x:row r="61">
      <x:c r="A61" s="59"/>
    </x:row>
    <x:row r="62">
      <x:c r="A62" s="59"/>
    </x:row>
    <x:row r="63">
      <x:c r="A63" s="59"/>
    </x:row>
    <x:row r="64">
      <x:c r="A64" s="59"/>
    </x:row>
    <x:row r="65">
      <x:c r="A65" s="59"/>
    </x:row>
    <x:row r="66">
      <x:c r="A66" s="59"/>
    </x:row>
    <x:row r="67">
      <x:c r="A67" s="59"/>
    </x:row>
    <x:row r="68">
      <x:c r="A68" s="59"/>
    </x:row>
    <x:row r="69">
      <x:c r="A69" s="59"/>
    </x:row>
    <x:row r="70">
      <x:c r="A70" s="59"/>
    </x:row>
    <x:row r="71">
      <x:c r="A71" s="59"/>
    </x:row>
    <x:row r="72">
      <x:c r="A72" s="59"/>
    </x:row>
    <x:row r="73">
      <x:c r="A73" s="59"/>
    </x:row>
    <x:row r="74">
      <x:c r="A74" s="59"/>
    </x:row>
    <x:row r="75">
      <x:c r="A75" s="59"/>
    </x:row>
    <x:row r="76">
      <x:c r="A76" s="59"/>
    </x:row>
    <x:row r="77">
      <x:c r="A77" s="59"/>
    </x:row>
    <x:row r="78">
      <x:c r="A78" s="59"/>
    </x:row>
    <x:row r="79">
      <x:c r="A79" s="59"/>
    </x:row>
    <x:row r="80">
      <x:c r="A80" s="59"/>
    </x:row>
    <x:row r="81">
      <x:c r="A81" s="59"/>
    </x:row>
    <x:row r="82">
      <x:c r="A82" s="59"/>
    </x:row>
    <x:row r="83">
      <x:c r="A83" s="59"/>
    </x:row>
    <x:row r="84">
      <x:c r="A84" s="59"/>
    </x:row>
    <x:row r="85">
      <x:c r="A85" s="59"/>
    </x:row>
    <x:row r="86">
      <x:c r="A86" s="59"/>
    </x:row>
    <x:row r="87">
      <x:c r="A87" s="59"/>
    </x:row>
    <x:row r="88">
      <x:c r="A88" s="59"/>
    </x:row>
    <x:row r="89">
      <x:c r="A89" s="59"/>
    </x:row>
    <x:row r="90">
      <x:c r="A90" s="59"/>
    </x:row>
    <x:row r="91">
      <x:c r="A91" s="59"/>
    </x:row>
    <x:row r="92">
      <x:c r="A92" s="59"/>
    </x:row>
    <x:row r="93">
      <x:c r="A93" s="59"/>
    </x:row>
    <x:row r="94">
      <x:c r="A94" s="59"/>
    </x:row>
    <x:row r="95">
      <x:c r="A95" s="59"/>
    </x:row>
    <x:row r="96">
      <x:c r="A96" s="59"/>
    </x:row>
    <x:row r="97">
      <x:c r="A97" s="59"/>
    </x:row>
    <x:row r="98">
      <x:c r="A98" s="59"/>
    </x:row>
    <x:row r="99">
      <x:c r="A99" s="59"/>
    </x:row>
    <x:row r="100">
      <x:c r="A100" s="59"/>
    </x:row>
    <x:row r="101">
      <x:c r="A101" s="59"/>
    </x:row>
    <x:row r="102">
      <x:c r="A102" s="59"/>
    </x:row>
    <x:row r="103">
      <x:c r="A103" s="59"/>
    </x:row>
    <x:row r="104">
      <x:c r="A104" s="59"/>
    </x:row>
    <x:row r="105">
      <x:c r="A105" s="59"/>
    </x:row>
    <x:row r="106">
      <x:c r="A106" s="59"/>
    </x:row>
    <x:row r="107">
      <x:c r="A107" s="59"/>
    </x:row>
    <x:row r="108">
      <x:c r="A108" s="59"/>
    </x:row>
    <x:row r="109">
      <x:c r="A109" s="59"/>
    </x:row>
    <x:row r="110">
      <x:c r="A110" s="59"/>
    </x:row>
    <x:row r="111">
      <x:c r="A111" s="59"/>
    </x:row>
    <x:row r="112">
      <x:c r="A112" s="59"/>
    </x:row>
    <x:row r="113">
      <x:c r="A113" s="59"/>
    </x:row>
    <x:row r="114">
      <x:c r="A114" s="59"/>
    </x:row>
    <x:row r="115">
      <x:c r="A115" s="59"/>
    </x:row>
    <x:row r="116">
      <x:c r="A116" s="59"/>
    </x:row>
    <x:row r="117">
      <x:c r="A117" s="59"/>
    </x:row>
    <x:row r="118">
      <x:c r="A118" s="59"/>
    </x:row>
    <x:row r="119">
      <x:c r="A119" s="59"/>
    </x:row>
    <x:row r="120">
      <x:c r="A120" s="59"/>
    </x:row>
    <x:row r="121">
      <x:c r="A121" s="59"/>
    </x:row>
    <x:row r="122">
      <x:c r="A122" s="59"/>
    </x:row>
    <x:row r="123">
      <x:c r="A123" s="59"/>
    </x:row>
    <x:row r="124">
      <x:c r="A124" s="59"/>
    </x:row>
    <x:row r="125">
      <x:c r="A125" s="59"/>
    </x:row>
    <x:row r="126">
      <x:c r="A126" s="59"/>
    </x:row>
    <x:row r="127">
      <x:c r="A127" s="59"/>
    </x:row>
    <x:row r="128">
      <x:c r="A128" s="59"/>
    </x:row>
    <x:row r="129">
      <x:c r="A129" s="59"/>
    </x:row>
    <x:row r="130">
      <x:c r="A130" s="59"/>
    </x:row>
    <x:row r="131">
      <x:c r="A131" s="59"/>
    </x:row>
    <x:row r="132">
      <x:c r="A132" s="59"/>
    </x:row>
    <x:row r="133">
      <x:c r="A133" s="59"/>
    </x:row>
    <x:row r="134">
      <x:c r="A134" s="59"/>
    </x:row>
    <x:row r="135">
      <x:c r="A135" s="59"/>
    </x:row>
    <x:row r="136">
      <x:c r="A136" s="59"/>
    </x:row>
    <x:row r="137">
      <x:c r="A137" s="59"/>
    </x:row>
    <x:row r="138">
      <x:c r="A138" s="59"/>
    </x:row>
    <x:row r="139">
      <x:c r="A139" s="59"/>
    </x:row>
    <x:row r="140">
      <x:c r="A140" s="59"/>
    </x:row>
    <x:row r="141">
      <x:c r="A141" s="59"/>
    </x:row>
    <x:row r="142">
      <x:c r="A142" s="59"/>
    </x:row>
    <x:row r="143">
      <x:c r="A143" s="59"/>
    </x:row>
    <x:row r="144">
      <x:c r="A144" s="59"/>
    </x:row>
    <x:row r="145">
      <x:c r="A145" s="59"/>
    </x:row>
    <x:row r="146">
      <x:c r="A146" s="59"/>
    </x:row>
    <x:row r="147">
      <x:c r="A147" s="59"/>
    </x:row>
    <x:row r="148">
      <x:c r="A148" s="59"/>
    </x:row>
    <x:row r="149">
      <x:c r="A149" s="59"/>
    </x:row>
    <x:row r="150">
      <x:c r="A150" s="59"/>
    </x:row>
    <x:row r="151">
      <x:c r="A151" s="59"/>
    </x:row>
    <x:row r="152">
      <x:c r="A152" s="59"/>
    </x:row>
    <x:row r="153">
      <x:c r="A153" s="59"/>
    </x:row>
    <x:row r="154">
      <x:c r="A154" s="59"/>
    </x:row>
    <x:row r="155">
      <x:c r="A155" s="59"/>
    </x:row>
    <x:row r="156">
      <x:c r="A156" s="59"/>
    </x:row>
    <x:row r="157">
      <x:c r="A157" s="59"/>
    </x:row>
    <x:row r="158">
      <x:c r="A158" s="59"/>
    </x:row>
    <x:row r="159">
      <x:c r="A159" s="59"/>
    </x:row>
    <x:row r="160">
      <x:c r="A160" s="59"/>
    </x:row>
    <x:row r="161">
      <x:c r="A161" s="59"/>
    </x:row>
    <x:row r="162">
      <x:c r="A162" s="59"/>
    </x:row>
    <x:row r="163">
      <x:c r="A163" s="59"/>
    </x:row>
    <x:row r="164">
      <x:c r="A164" s="59"/>
    </x:row>
    <x:row r="165">
      <x:c r="A165" s="59"/>
    </x:row>
    <x:row r="166">
      <x:c r="A166" s="59"/>
    </x:row>
    <x:row r="167">
      <x:c r="A167" s="59"/>
    </x:row>
    <x:row r="168">
      <x:c r="A168" s="59"/>
    </x:row>
    <x:row r="169">
      <x:c r="A169" s="59"/>
    </x:row>
    <x:row r="170">
      <x:c r="A170" s="59"/>
    </x:row>
    <x:row r="171">
      <x:c r="A171" s="59"/>
    </x:row>
    <x:row r="172">
      <x:c r="A172" s="59"/>
    </x:row>
    <x:row r="173">
      <x:c r="A173" s="59"/>
    </x:row>
    <x:row r="174">
      <x:c r="A174" s="59"/>
    </x:row>
    <x:row r="175">
      <x:c r="A175" s="59"/>
    </x:row>
    <x:row r="176">
      <x:c r="A176" s="59"/>
    </x:row>
    <x:row r="177">
      <x:c r="A177" s="59"/>
    </x:row>
    <x:row r="178">
      <x:c r="A178" s="59"/>
    </x:row>
    <x:row r="179">
      <x:c r="A179" s="59"/>
    </x:row>
    <x:row r="180">
      <x:c r="A180" s="59"/>
    </x:row>
    <x:row r="181">
      <x:c r="A181" s="59"/>
    </x:row>
    <x:row r="182">
      <x:c r="A182" s="59"/>
    </x:row>
    <x:row r="183">
      <x:c r="A183" s="59"/>
    </x:row>
    <x:row r="184">
      <x:c r="A184" s="59"/>
    </x:row>
    <x:row r="185">
      <x:c r="A185" s="59"/>
    </x:row>
    <x:row r="186">
      <x:c r="A186" s="59"/>
    </x:row>
    <x:row r="187">
      <x:c r="A187" s="59"/>
    </x:row>
    <x:row r="188">
      <x:c r="A188" s="59"/>
    </x:row>
    <x:row r="189">
      <x:c r="A189" s="59"/>
    </x:row>
    <x:row r="190">
      <x:c r="A190" s="59"/>
    </x:row>
    <x:row r="191">
      <x:c r="A191" s="59"/>
    </x:row>
    <x:row r="192">
      <x:c r="A192" s="59"/>
    </x:row>
    <x:row r="193">
      <x:c r="A193" s="59"/>
    </x:row>
    <x:row r="194">
      <x:c r="A194" s="59"/>
    </x:row>
    <x:row r="195">
      <x:c r="A195" s="59"/>
    </x:row>
    <x:row r="196">
      <x:c r="A196" s="59"/>
    </x:row>
    <x:row r="197">
      <x:c r="A197" s="59"/>
    </x:row>
    <x:row r="198">
      <x:c r="A198" s="59"/>
    </x:row>
    <x:row r="199">
      <x:c r="A199" s="59"/>
    </x:row>
    <x:row r="200">
      <x:c r="A200" s="5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0" hidden="0" customWidth="1"/>
    <x:col min="3" max="3" width="18" hidden="0" customWidth="1"/>
    <x:col min="4" max="4" width="55" hidden="0" customWidth="1"/>
  </x:cols>
  <x:sheetData>
    <x:row r="1">
      <x:c r="A1" s="66" t="str">
        <x:v>B4 task / requirement block</x:v>
      </x:c>
      <x:c r="B1" s="37" t="str">
        <x:v>Primary check locations</x:v>
      </x:c>
      <x:c r="C1" s="37" t="str">
        <x:v>Coverage in this marking scheme</x:v>
      </x:c>
      <x:c r="D1" s="37" t="str">
        <x:v>Notes</x:v>
      </x:c>
    </x:row>
    <x:row r="2">
      <x:c r="A2" s="14" t="str">
        <x:v>Task 1 Hostnames, IP addressing and routing</x:v>
      </x:c>
      <x:c r="B2" s="12" t="str">
        <x:v>SHA-RTR01, BJ-RTR01, SHA-DC01, BJ-DC02, SHA-FS01, BJ-SRV01</x:v>
      </x:c>
      <x:c r="C2" s="12" t="str">
        <x:v>Covered</x:v>
      </x:c>
      <x:c r="D2" s="12" t="str">
        <x:v>Transport/validation nodes are treated as preconfigured and not scored directly.</x:v>
      </x:c>
    </x:row>
    <x:row r="3">
      <x:c r="A3" s="14" t="str">
        <x:v>Task 2 AD DS</x:v>
      </x:c>
      <x:c r="B3" s="12" t="str">
        <x:v>SHA-DC01, BJ-DC02</x:v>
      </x:c>
      <x:c r="C3" s="12" t="str">
        <x:v>Covered</x:v>
      </x:c>
      <x:c r="D3" s="12" t="str">
        <x:v>Root DC, additional DC, GC, SYSVOL/NETLOGON, replication and time skew are included.</x:v>
      </x:c>
    </x:row>
    <x:row r="4">
      <x:c r="A4" s="14" t="str">
        <x:v>Task 3 DNS</x:v>
      </x:c>
      <x:c r="B4" s="12" t="str">
        <x:v>SHA-DC01, BJ-DC02, SHA-CL01</x:v>
      </x:c>
      <x:c r="C4" s="12" t="str">
        <x:v>Covered</x:v>
      </x:c>
      <x:c r="D4" s="12" t="str">
        <x:v>Forward zone, reverse zones, A/PTR and CNAME records are checked; router A records use internal interfaces.</x:v>
      </x:c>
    </x:row>
    <x:row r="5">
      <x:c r="A5" s="14" t="str">
        <x:v>Task 4 DHCP</x:v>
      </x:c>
      <x:c r="B5" s="12" t="str">
        <x:v>SHA-DC01, BJ-DC02, SHA-RTR01, BJ-RTR01, SHA-CL01, BJ-CL01</x:v>
      </x:c>
      <x:c r="C5" s="12" t="str">
        <x:v>Covered</x:v>
      </x:c>
      <x:c r="D5" s="12" t="str">
        <x:v>Both scopes, exclusions, options, authorization and relay are included.</x:v>
      </x:c>
    </x:row>
    <x:row r="6">
      <x:c r="A6" s="14" t="str">
        <x:v>Task 5 OU structure, domain join and RSAT</x:v>
      </x:c>
      <x:c r="B6" s="12" t="str">
        <x:v>SHA-DC01, SHA-FS01, BJ-SRV01, SHA-CL01, BJ-CL01</x:v>
      </x:c>
      <x:c r="C6" s="12" t="str">
        <x:v>Covered</x:v>
      </x:c>
      <x:c r="D6" s="12" t="str">
        <x:v>RSAT is checked on SHA-CL01, domain/OU placement is checked on relevant hosts, and SHA-WEB01/SHA-APP01 not joined to the domain is explicitly checked.</x:v>
      </x:c>
    </x:row>
    <x:row r="7">
      <x:c r="A7" s="14" t="str">
        <x:v>Task 6 Security groups and users</x:v>
      </x:c>
      <x:c r="B7" s="12" t="str">
        <x:v>SHA-DC01, SHA-FS01, BJ-SRV01, SHA-CL01</x:v>
      </x:c>
      <x:c r="C7" s="12" t="str">
        <x:v>Covered</x:v>
      </x:c>
      <x:c r="D7" s="12" t="str">
        <x:v>Groups, users, membership model, Remote Management Users and auditor read-only log access are included.</x:v>
      </x:c>
    </x:row>
    <x:row r="8">
      <x:c r="A8" s="14" t="str">
        <x:v>Task 7 Domain account policy</x:v>
      </x:c>
      <x:c r="B8" s="12" t="str">
        <x:v>SHA-DC01, SHA-CL01</x:v>
      </x:c>
      <x:c r="C8" s="12" t="str">
        <x:v>Covered</x:v>
      </x:c>
      <x:c r="D8" s="12" t="str">
        <x:v>Minimum password length is 10 to match Skill39@B4; lockout settings are included.</x:v>
      </x:c>
    </x:row>
    <x:row r="9">
      <x:c r="A9" s="14" t="str">
        <x:v>Task 8 Local administrator model</x:v>
      </x:c>
      <x:c r="B9" s="12" t="str">
        <x:v>SHA-FS01, BJ-SRV01, SHA-CL01, BJ-CL01, SHA-DC01</x:v>
      </x:c>
      <x:c r="C9" s="12" t="str">
        <x:v>Covered</x:v>
      </x:c>
      <x:c r="D9" s="12" t="str">
        <x:v>Checks avoid over-penalizing built-in local Administrator or default system SIDs.</x:v>
      </x:c>
    </x:row>
    <x:row r="10">
      <x:c r="A10" s="14" t="str">
        <x:v>Task 9 Firewall and remote management</x:v>
      </x:c>
      <x:c r="B10" s="12" t="str">
        <x:v>All internal targets, INET-CL01</x:v>
      </x:c>
      <x:c r="C10" s="12" t="str">
        <x:v>Covered</x:v>
      </x:c>
      <x:c r="D10" s="12" t="str">
        <x:v>Management is tested from SHA-CL01. External blocking is scored from INET-CL01 by IP address; target devices check firewall scope/configuration to avoid double penalties.</x:v>
      </x:c>
    </x:row>
    <x:row r="11">
      <x:c r="A11" s="14" t="str">
        <x:v>Task 10 Defender baseline</x:v>
      </x:c>
      <x:c r="B11" s="12" t="str">
        <x:v>SHA-FS01, BJ-SRV01, SHA-CL01, BJ-CL01, BJ-DC02, SHA-DC01</x:v>
      </x:c>
      <x:c r="C11" s="12" t="str">
        <x:v>Covered</x:v>
      </x:c>
      <x:c r="D11" s="12" t="str">
        <x:v>Defender baseline is checked on member servers/workstations; Defender not disabled is explicitly checked on both DCs.</x:v>
      </x:c>
    </x:row>
    <x:row r="12">
      <x:c r="A12" s="14" t="str">
        <x:v>Task 11 Advanced Audit Policy</x:v>
      </x:c>
      <x:c r="B12" s="12" t="str">
        <x:v>SHA-DC01, BJ-DC02, SHA-FS01, BJ-SRV01, SHA-CL01, BJ-CL01</x:v>
      </x:c>
      <x:c r="C12" s="12" t="str">
        <x:v>Covered</x:v>
      </x:c>
      <x:c r="D12" s="12" t="str">
        <x:v>Audit subcategories, command line logging and Security log sizes are included.</x:v>
      </x:c>
    </x:row>
    <x:row r="13">
      <x:c r="A13" s="14" t="str">
        <x:v>Task 12 Windows Event Forwarding</x:v>
      </x:c>
      <x:c r="B13" s="12" t="str">
        <x:v>BJ-SRV01 and all WEF sources</x:v>
      </x:c>
      <x:c r="C13" s="12" t="str">
        <x:v>Covered</x:v>
      </x:c>
      <x:c r="D13" s="12" t="str">
        <x:v>WEC service, source-initiated subscription, collector exception, source coverage, event IDs after validation, Security log forwarding and self-source clarification are included.</x:v>
      </x:c>
    </x:row>
    <x:row r="14">
      <x:c r="A14" s="14" t="str">
        <x:v>Task 13 Security validation</x:v>
      </x:c>
      <x:c r="B14" s="12" t="str">
        <x:v>SHA-CL01, BJ-SRV01, INET-CL01</x:v>
      </x:c>
      <x:c r="C14" s="12" t="str">
        <x:v>Covered</x:v>
      </x:c>
      <x:c r="D14" s="12" t="str">
        <x:v>Admin model, remoting, external blocking and generated audit events are included.</x:v>
      </x:c>
    </x:row>
    <x:row r="15">
      <x:c r="A15" s="14" t="str">
        <x:v>Task 14 Local submission</x:v>
      </x:c>
      <x:c r="B15" s="12" t="str">
        <x:v>SHA-CL01 — Local submission</x:v>
      </x:c>
      <x:c r="C15" s="12" t="str">
        <x:v>Covered</x:v>
      </x:c>
      <x:c r="D15" s="12" t="str">
        <x:v>All required files are explicitly listed.</x:v>
      </x:c>
    </x:row>
    <x:row r="16">
      <x:c r="A16" s="59"/>
    </x:row>
    <x:row r="17">
      <x:c r="A17" s="59"/>
    </x:row>
    <x:row r="18">
      <x:c r="A18" s="59"/>
    </x:row>
    <x:row r="19">
      <x:c r="A19" s="59"/>
    </x:row>
    <x:row r="20">
      <x:c r="A20" s="59"/>
    </x:row>
    <x:row r="21">
      <x:c r="A21" s="59"/>
    </x:row>
    <x:row r="22">
      <x:c r="A22" s="59"/>
    </x:row>
    <x:row r="23">
      <x:c r="A23" s="59"/>
    </x:row>
    <x:row r="24">
      <x:c r="A24" s="59"/>
    </x:row>
    <x:row r="25">
      <x:c r="A25" s="59"/>
    </x:row>
    <x:row r="26">
      <x:c r="A26" s="59"/>
    </x:row>
    <x:row r="27">
      <x:c r="A27" s="59"/>
    </x:row>
    <x:row r="28">
      <x:c r="A28" s="59"/>
    </x:row>
    <x:row r="29">
      <x:c r="A29" s="59"/>
    </x:row>
    <x:row r="30">
      <x:c r="A30" s="59"/>
    </x:row>
    <x:row r="31">
      <x:c r="A31" s="59"/>
    </x:row>
    <x:row r="32">
      <x:c r="A32" s="59"/>
    </x:row>
    <x:row r="33">
      <x:c r="A33" s="59"/>
    </x:row>
    <x:row r="34">
      <x:c r="A34" s="59"/>
    </x:row>
    <x:row r="35">
      <x:c r="A35" s="59"/>
    </x:row>
    <x:row r="36">
      <x:c r="A36" s="59"/>
    </x:row>
    <x:row r="37">
      <x:c r="A37" s="59"/>
    </x:row>
    <x:row r="38">
      <x:c r="A38" s="59"/>
    </x:row>
    <x:row r="39">
      <x:c r="A39" s="59"/>
    </x:row>
    <x:row r="40">
      <x:c r="A40" s="59"/>
    </x:row>
    <x:row r="41">
      <x:c r="A41" s="59"/>
    </x:row>
    <x:row r="42">
      <x:c r="A42" s="59"/>
    </x:row>
    <x:row r="43">
      <x:c r="A43" s="59"/>
    </x:row>
    <x:row r="44">
      <x:c r="A44" s="59"/>
    </x:row>
    <x:row r="45">
      <x:c r="A45" s="59"/>
    </x:row>
    <x:row r="46">
      <x:c r="A46" s="59"/>
    </x:row>
    <x:row r="47">
      <x:c r="A47" s="59"/>
    </x:row>
    <x:row r="48">
      <x:c r="A48" s="59"/>
    </x:row>
    <x:row r="49">
      <x:c r="A49" s="59"/>
    </x:row>
    <x:row r="50">
      <x:c r="A50" s="59"/>
    </x:row>
    <x:row r="51">
      <x:c r="A51" s="59"/>
    </x:row>
    <x:row r="52">
      <x:c r="A52" s="59"/>
    </x:row>
    <x:row r="53">
      <x:c r="A53" s="59"/>
    </x:row>
    <x:row r="54">
      <x:c r="A54" s="59"/>
    </x:row>
    <x:row r="55">
      <x:c r="A55" s="59"/>
    </x:row>
    <x:row r="56">
      <x:c r="A56" s="59"/>
    </x:row>
    <x:row r="57">
      <x:c r="A57" s="59"/>
    </x:row>
    <x:row r="58">
      <x:c r="A58" s="59"/>
    </x:row>
    <x:row r="59">
      <x:c r="A59" s="59"/>
    </x:row>
    <x:row r="60">
      <x:c r="A60" s="59"/>
    </x:row>
    <x:row r="61">
      <x:c r="A61" s="59"/>
    </x:row>
    <x:row r="62">
      <x:c r="A62" s="59"/>
    </x:row>
    <x:row r="63">
      <x:c r="A63" s="59"/>
    </x:row>
    <x:row r="64">
      <x:c r="A64" s="59"/>
    </x:row>
    <x:row r="65">
      <x:c r="A65" s="59"/>
    </x:row>
    <x:row r="66">
      <x:c r="A66" s="59"/>
    </x:row>
    <x:row r="67">
      <x:c r="A67" s="59"/>
    </x:row>
    <x:row r="68">
      <x:c r="A68" s="59"/>
    </x:row>
    <x:row r="69">
      <x:c r="A69" s="59"/>
    </x:row>
    <x:row r="70">
      <x:c r="A70" s="59"/>
    </x:row>
    <x:row r="71">
      <x:c r="A71" s="59"/>
    </x:row>
    <x:row r="72">
      <x:c r="A72" s="59"/>
    </x:row>
    <x:row r="73">
      <x:c r="A73" s="59"/>
    </x:row>
    <x:row r="74">
      <x:c r="A74" s="59"/>
    </x:row>
    <x:row r="75">
      <x:c r="A75" s="59"/>
    </x:row>
    <x:row r="76">
      <x:c r="A76" s="59"/>
    </x:row>
    <x:row r="77">
      <x:c r="A77" s="59"/>
    </x:row>
    <x:row r="78">
      <x:c r="A78" s="59"/>
    </x:row>
    <x:row r="79">
      <x:c r="A79" s="59"/>
    </x:row>
    <x:row r="80">
      <x:c r="A80" s="59"/>
    </x:row>
    <x:row r="81">
      <x:c r="A81" s="59"/>
    </x:row>
    <x:row r="82">
      <x:c r="A82" s="59"/>
    </x:row>
    <x:row r="83">
      <x:c r="A83" s="59"/>
    </x:row>
    <x:row r="84">
      <x:c r="A84" s="59"/>
    </x:row>
    <x:row r="85">
      <x:c r="A85" s="59"/>
    </x:row>
    <x:row r="86">
      <x:c r="A86" s="59"/>
    </x:row>
    <x:row r="87">
      <x:c r="A87" s="59"/>
    </x:row>
    <x:row r="88">
      <x:c r="A88" s="59"/>
    </x:row>
    <x:row r="89">
      <x:c r="A89" s="59"/>
    </x:row>
    <x:row r="90">
      <x:c r="A90" s="59"/>
    </x:row>
    <x:row r="91">
      <x:c r="A91" s="59"/>
    </x:row>
    <x:row r="92">
      <x:c r="A92" s="59"/>
    </x:row>
    <x:row r="93">
      <x:c r="A93" s="59"/>
    </x:row>
    <x:row r="94">
      <x:c r="A94" s="59"/>
    </x:row>
    <x:row r="95">
      <x:c r="A95" s="59"/>
    </x:row>
    <x:row r="96">
      <x:c r="A96" s="59"/>
    </x:row>
    <x:row r="97">
      <x:c r="A97" s="59"/>
    </x:row>
    <x:row r="98">
      <x:c r="A98" s="59"/>
    </x:row>
    <x:row r="99">
      <x:c r="A99" s="59"/>
    </x:row>
    <x:row r="100">
      <x:c r="A100" s="59"/>
    </x:row>
    <x:row r="101">
      <x:c r="A101" s="59"/>
    </x:row>
    <x:row r="102">
      <x:c r="A102" s="59"/>
    </x:row>
    <x:row r="103">
      <x:c r="A103" s="59"/>
    </x:row>
    <x:row r="104">
      <x:c r="A104" s="59"/>
    </x:row>
    <x:row r="105">
      <x:c r="A105" s="59"/>
    </x:row>
    <x:row r="106">
      <x:c r="A106" s="59"/>
    </x:row>
    <x:row r="107">
      <x:c r="A107" s="59"/>
    </x:row>
    <x:row r="108">
      <x:c r="A108" s="59"/>
    </x:row>
    <x:row r="109">
      <x:c r="A109" s="59"/>
    </x:row>
    <x:row r="110">
      <x:c r="A110" s="59"/>
    </x:row>
    <x:row r="111">
      <x:c r="A111" s="59"/>
    </x:row>
    <x:row r="112">
      <x:c r="A112" s="59"/>
    </x:row>
    <x:row r="113">
      <x:c r="A113" s="59"/>
    </x:row>
    <x:row r="114">
      <x:c r="A114" s="59"/>
    </x:row>
    <x:row r="115">
      <x:c r="A115" s="59"/>
    </x:row>
    <x:row r="116">
      <x:c r="A116" s="59"/>
    </x:row>
    <x:row r="117">
      <x:c r="A117" s="59"/>
    </x:row>
    <x:row r="118">
      <x:c r="A118" s="59"/>
    </x:row>
    <x:row r="119">
      <x:c r="A119" s="59"/>
    </x:row>
    <x:row r="120">
      <x:c r="A120" s="59"/>
    </x:row>
    <x:row r="121">
      <x:c r="A121" s="59"/>
    </x:row>
    <x:row r="122">
      <x:c r="A122" s="59"/>
    </x:row>
    <x:row r="123">
      <x:c r="A123" s="59"/>
    </x:row>
    <x:row r="124">
      <x:c r="A124" s="59"/>
    </x:row>
    <x:row r="125">
      <x:c r="A125" s="59"/>
    </x:row>
    <x:row r="126">
      <x:c r="A126" s="59"/>
    </x:row>
    <x:row r="127">
      <x:c r="A127" s="59"/>
    </x:row>
    <x:row r="128">
      <x:c r="A128" s="59"/>
    </x:row>
    <x:row r="129">
      <x:c r="A129" s="59"/>
    </x:row>
    <x:row r="130">
      <x:c r="A130" s="59"/>
    </x:row>
    <x:row r="131">
      <x:c r="A131" s="59"/>
    </x:row>
    <x:row r="132">
      <x:c r="A132" s="59"/>
    </x:row>
    <x:row r="133">
      <x:c r="A133" s="59"/>
    </x:row>
    <x:row r="134">
      <x:c r="A134" s="59"/>
    </x:row>
    <x:row r="135">
      <x:c r="A135" s="59"/>
    </x:row>
    <x:row r="136">
      <x:c r="A136" s="59"/>
    </x:row>
    <x:row r="137">
      <x:c r="A137" s="59"/>
    </x:row>
    <x:row r="138">
      <x:c r="A138" s="59"/>
    </x:row>
    <x:row r="139">
      <x:c r="A139" s="59"/>
    </x:row>
    <x:row r="140">
      <x:c r="A140" s="59"/>
    </x:row>
    <x:row r="141">
      <x:c r="A141" s="59"/>
    </x:row>
    <x:row r="142">
      <x:c r="A142" s="59"/>
    </x:row>
    <x:row r="143">
      <x:c r="A143" s="59"/>
    </x:row>
    <x:row r="144">
      <x:c r="A144" s="59"/>
    </x:row>
    <x:row r="145">
      <x:c r="A145" s="59"/>
    </x:row>
    <x:row r="146">
      <x:c r="A146" s="59"/>
    </x:row>
    <x:row r="147">
      <x:c r="A147" s="59"/>
    </x:row>
    <x:row r="148">
      <x:c r="A148" s="59"/>
    </x:row>
    <x:row r="149">
      <x:c r="A149" s="59"/>
    </x:row>
    <x:row r="150">
      <x:c r="A150" s="59"/>
    </x:row>
    <x:row r="151">
      <x:c r="A151" s="59"/>
    </x:row>
    <x:row r="152">
      <x:c r="A152" s="59"/>
    </x:row>
    <x:row r="153">
      <x:c r="A153" s="59"/>
    </x:row>
    <x:row r="154">
      <x:c r="A154" s="59"/>
    </x:row>
    <x:row r="155">
      <x:c r="A155" s="59"/>
    </x:row>
    <x:row r="156">
      <x:c r="A156" s="59"/>
    </x:row>
    <x:row r="157">
      <x:c r="A157" s="59"/>
    </x:row>
    <x:row r="158">
      <x:c r="A158" s="59"/>
    </x:row>
    <x:row r="159">
      <x:c r="A159" s="59"/>
    </x:row>
    <x:row r="160">
      <x:c r="A160" s="59"/>
    </x:row>
    <x:row r="161">
      <x:c r="A161" s="59"/>
    </x:row>
    <x:row r="162">
      <x:c r="A162" s="59"/>
    </x:row>
    <x:row r="163">
      <x:c r="A163" s="59"/>
    </x:row>
    <x:row r="164">
      <x:c r="A164" s="59"/>
    </x:row>
    <x:row r="165">
      <x:c r="A165" s="59"/>
    </x:row>
    <x:row r="166">
      <x:c r="A166" s="59"/>
    </x:row>
    <x:row r="167">
      <x:c r="A167" s="59"/>
    </x:row>
    <x:row r="168">
      <x:c r="A168" s="59"/>
    </x:row>
    <x:row r="169">
      <x:c r="A169" s="59"/>
    </x:row>
    <x:row r="170">
      <x:c r="A170" s="59"/>
    </x:row>
    <x:row r="171">
      <x:c r="A171" s="59"/>
    </x:row>
    <x:row r="172">
      <x:c r="A172" s="59"/>
    </x:row>
    <x:row r="173">
      <x:c r="A173" s="59"/>
    </x:row>
    <x:row r="174">
      <x:c r="A174" s="59"/>
    </x:row>
    <x:row r="175">
      <x:c r="A175" s="59"/>
    </x:row>
    <x:row r="176">
      <x:c r="A176" s="59"/>
    </x:row>
    <x:row r="177">
      <x:c r="A177" s="59"/>
    </x:row>
    <x:row r="178">
      <x:c r="A178" s="59"/>
    </x:row>
    <x:row r="179">
      <x:c r="A179" s="59"/>
    </x:row>
    <x:row r="180">
      <x:c r="A180" s="59"/>
    </x:row>
    <x:row r="181">
      <x:c r="A181" s="59"/>
    </x:row>
    <x:row r="182">
      <x:c r="A182" s="59"/>
    </x:row>
    <x:row r="183">
      <x:c r="A183" s="59"/>
    </x:row>
    <x:row r="184">
      <x:c r="A184" s="59"/>
    </x:row>
    <x:row r="185">
      <x:c r="A185" s="59"/>
    </x:row>
    <x:row r="186">
      <x:c r="A186" s="59"/>
    </x:row>
    <x:row r="187">
      <x:c r="A187" s="59"/>
    </x:row>
    <x:row r="188">
      <x:c r="A188" s="59"/>
    </x:row>
    <x:row r="189">
      <x:c r="A189" s="59"/>
    </x:row>
    <x:row r="190">
      <x:c r="A190" s="59"/>
    </x:row>
    <x:row r="191">
      <x:c r="A191" s="59"/>
    </x:row>
    <x:row r="192">
      <x:c r="A192" s="59"/>
    </x:row>
    <x:row r="193">
      <x:c r="A193" s="59"/>
    </x:row>
    <x:row r="194">
      <x:c r="A194" s="59"/>
    </x:row>
    <x:row r="195">
      <x:c r="A195" s="59"/>
    </x:row>
    <x:row r="196">
      <x:c r="A196" s="59"/>
    </x:row>
    <x:row r="197">
      <x:c r="A197" s="59"/>
    </x:row>
    <x:row r="198">
      <x:c r="A198" s="59"/>
    </x:row>
    <x:row r="199">
      <x:c r="A199" s="59"/>
    </x:row>
    <x:row r="200">
      <x:c r="A200" s="5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2" hidden="0" customWidth="1"/>
    <x:col min="5" max="5" width="46" hidden="0" customWidth="1"/>
  </x:cols>
  <x:sheetData>
    <x:row r="1">
      <x:c r="A1" s="68" t="str">
        <x:v>Host</x:v>
      </x:c>
      <x:c r="B1" s="45" t="str">
        <x:v>Segment / role</x:v>
      </x:c>
      <x:c r="C1" s="45" t="str">
        <x:v>IP / addressing</x:v>
      </x:c>
      <x:c r="D1" s="45" t="str">
        <x:v>Gateway</x:v>
      </x:c>
      <x:c r="E1" s="45" t="str">
        <x:v>DNS / notes</x:v>
      </x:c>
    </x:row>
    <x:row r="2">
      <x:c r="A2" s="14" t="str">
        <x:v>SHA-RTR01</x:v>
      </x:c>
      <x:c r="B2" s="12" t="str">
        <x:v>Shanghai WAN</x:v>
      </x:c>
      <x:c r="C2" s="12" t="str">
        <x:v>198.18.140.10/24</x:v>
      </x:c>
      <x:c r="D2" s="12" t="str">
        <x:v>next-hop 198.18.140.1</x:v>
      </x:c>
      <x:c r="E2" s="12" t="str">
        <x:v>Routing only</x:v>
      </x:c>
    </x:row>
    <x:row r="3">
      <x:c r="A3" s="14" t="str">
        <x:v>SHA-RTR01</x:v>
      </x:c>
      <x:c r="B3" s="12" t="str">
        <x:v>Shanghai DMZ</x:v>
      </x:c>
      <x:c r="C3" s="12" t="str">
        <x:v>10.24.10.1/24</x:v>
      </x:c>
      <x:c r="D3" s="12" t="str"/>
      <x:c r="E3" s="12" t="str">
        <x:v>Gateway for Shanghai DMZ</x:v>
      </x:c>
    </x:row>
    <x:row r="4">
      <x:c r="A4" s="14" t="str">
        <x:v>SHA-RTR01</x:v>
      </x:c>
      <x:c r="B4" s="12" t="str">
        <x:v>Shanghai Internal</x:v>
      </x:c>
      <x:c r="C4" s="12" t="str">
        <x:v>10.24.20.1/24</x:v>
      </x:c>
      <x:c r="D4" s="12" t="str"/>
      <x:c r="E4" s="12" t="str">
        <x:v>Gateway for Shanghai Internal; DNS A record uses this address</x:v>
      </x:c>
    </x:row>
    <x:row r="5">
      <x:c r="A5" s="14" t="str">
        <x:v>SHA-RTR01</x:v>
      </x:c>
      <x:c r="B5" s="12" t="str">
        <x:v>Shanghai Client</x:v>
      </x:c>
      <x:c r="C5" s="12" t="str">
        <x:v>10.24.30.1/24</x:v>
      </x:c>
      <x:c r="D5" s="12" t="str"/>
      <x:c r="E5" s="12" t="str">
        <x:v>Gateway and DHCP Relay for SHA-CL01</x:v>
      </x:c>
    </x:row>
    <x:row r="6">
      <x:c r="A6" s="14" t="str">
        <x:v>BJ-RTR01</x:v>
      </x:c>
      <x:c r="B6" s="12" t="str">
        <x:v>Beijing WAN</x:v>
      </x:c>
      <x:c r="C6" s="12" t="str">
        <x:v>198.18.141.10/24</x:v>
      </x:c>
      <x:c r="D6" s="12" t="str">
        <x:v>next-hop 198.18.141.1</x:v>
      </x:c>
      <x:c r="E6" s="12" t="str">
        <x:v>Routing only</x:v>
      </x:c>
    </x:row>
    <x:row r="7">
      <x:c r="A7" s="14" t="str">
        <x:v>BJ-RTR01</x:v>
      </x:c>
      <x:c r="B7" s="12" t="str">
        <x:v>Beijing Internal</x:v>
      </x:c>
      <x:c r="C7" s="12" t="str">
        <x:v>10.34.20.1/24</x:v>
      </x:c>
      <x:c r="D7" s="12" t="str"/>
      <x:c r="E7" s="12" t="str">
        <x:v>Gateway for Beijing Internal; DNS A record uses this address</x:v>
      </x:c>
    </x:row>
    <x:row r="8">
      <x:c r="A8" s="14" t="str">
        <x:v>BJ-RTR01</x:v>
      </x:c>
      <x:c r="B8" s="12" t="str">
        <x:v>Beijing Client</x:v>
      </x:c>
      <x:c r="C8" s="12" t="str">
        <x:v>10.34.30.1/24</x:v>
      </x:c>
      <x:c r="D8" s="12" t="str"/>
      <x:c r="E8" s="12" t="str">
        <x:v>Gateway and DHCP Relay for BJ-CL01</x:v>
      </x:c>
    </x:row>
    <x:row r="9">
      <x:c r="A9" s="14" t="str">
        <x:v>SHA-DC01</x:v>
      </x:c>
      <x:c r="B9" s="12" t="str">
        <x:v>Root DC / DNS / DHCP</x:v>
      </x:c>
      <x:c r="C9" s="12" t="str">
        <x:v>10.24.20.10/24</x:v>
      </x:c>
      <x:c r="D9" s="12" t="str">
        <x:v>10.24.20.1</x:v>
      </x:c>
      <x:c r="E9" s="12" t="str">
        <x:v>DNS after domain: 10.24.20.10, 10.34.20.10</x:v>
      </x:c>
    </x:row>
    <x:row r="10">
      <x:c r="A10" s="14" t="str">
        <x:v>SHA-FS01</x:v>
      </x:c>
      <x:c r="B10" s="12" t="str">
        <x:v>Member server</x:v>
      </x:c>
      <x:c r="C10" s="12" t="str">
        <x:v>10.24.20.20/24</x:v>
      </x:c>
      <x:c r="D10" s="12" t="str">
        <x:v>10.24.20.1</x:v>
      </x:c>
      <x:c r="E10" s="12" t="str">
        <x:v>DNS: 10.24.20.10, 10.34.20.10</x:v>
      </x:c>
    </x:row>
    <x:row r="11">
      <x:c r="A11" s="14" t="str">
        <x:v>BJ-DC02</x:v>
      </x:c>
      <x:c r="B11" s="12" t="str">
        <x:v>Additional DC / DNS / DHCP</x:v>
      </x:c>
      <x:c r="C11" s="12" t="str">
        <x:v>10.34.20.10/24</x:v>
      </x:c>
      <x:c r="D11" s="12" t="str">
        <x:v>10.34.20.1</x:v>
      </x:c>
      <x:c r="E11" s="12" t="str">
        <x:v>DNS after promotion: 10.34.20.10, 10.24.20.10</x:v>
      </x:c>
    </x:row>
    <x:row r="12">
      <x:c r="A12" s="14" t="str">
        <x:v>BJ-SRV01</x:v>
      </x:c>
      <x:c r="B12" s="12" t="str">
        <x:v>Event Collector / member server</x:v>
      </x:c>
      <x:c r="C12" s="12" t="str">
        <x:v>10.34.20.20/24</x:v>
      </x:c>
      <x:c r="D12" s="12" t="str">
        <x:v>10.34.20.1</x:v>
      </x:c>
      <x:c r="E12" s="12" t="str">
        <x:v>DNS: 10.34.20.10, 10.24.20.10</x:v>
      </x:c>
    </x:row>
    <x:row r="13">
      <x:c r="A13" s="14" t="str">
        <x:v>SHA-CL01</x:v>
      </x:c>
      <x:c r="B13" s="12" t="str">
        <x:v>Shanghai Client</x:v>
      </x:c>
      <x:c r="C13" s="12" t="str">
        <x:v>DHCP 10.24.30.120–200</x:v>
      </x:c>
      <x:c r="D13" s="12" t="str">
        <x:v>10.24.30.1</x:v>
      </x:c>
      <x:c r="E13" s="12" t="str">
        <x:v>DNS: 10.24.20.10, 10.34.20.10</x:v>
      </x:c>
    </x:row>
    <x:row r="14">
      <x:c r="A14" s="14" t="str">
        <x:v>BJ-CL01</x:v>
      </x:c>
      <x:c r="B14" s="12" t="str">
        <x:v>Beijing Client</x:v>
      </x:c>
      <x:c r="C14" s="12" t="str">
        <x:v>DHCP 10.34.30.120–200</x:v>
      </x:c>
      <x:c r="D14" s="12" t="str">
        <x:v>10.34.30.1</x:v>
      </x:c>
      <x:c r="E14" s="12" t="str">
        <x:v>DNS: 10.34.20.10, 10.24.20.10</x:v>
      </x:c>
    </x:row>
    <x:row r="15">
      <x:c r="A15" s="14" t="str">
        <x:v>INET-CL01</x:v>
      </x:c>
      <x:c r="B15" s="12" t="str">
        <x:v>External validation client</x:v>
      </x:c>
      <x:c r="C15" s="12" t="str">
        <x:v>198.18.201.10/24</x:v>
      </x:c>
      <x:c r="D15" s="12" t="str">
        <x:v>198.18.201.1</x:v>
      </x:c>
      <x:c r="E15" s="12" t="str">
        <x:v>Preconfigured; used only for external blocking tests</x:v>
      </x:c>
    </x:row>
    <x:row r="16">
      <x:c r="A16" s="59"/>
    </x:row>
    <x:row r="17">
      <x:c r="A17" s="59"/>
    </x:row>
    <x:row r="18">
      <x:c r="A18" s="59"/>
    </x:row>
    <x:row r="19">
      <x:c r="A19" s="59"/>
    </x:row>
    <x:row r="20">
      <x:c r="A20" s="59"/>
    </x:row>
    <x:row r="21">
      <x:c r="A21" s="59"/>
    </x:row>
    <x:row r="22">
      <x:c r="A22" s="59"/>
    </x:row>
    <x:row r="23">
      <x:c r="A23" s="59"/>
    </x:row>
    <x:row r="24">
      <x:c r="A24" s="59"/>
    </x:row>
    <x:row r="25">
      <x:c r="A25" s="59"/>
    </x:row>
    <x:row r="26">
      <x:c r="A26" s="59"/>
    </x:row>
    <x:row r="27">
      <x:c r="A27" s="59"/>
    </x:row>
    <x:row r="28">
      <x:c r="A28" s="59"/>
    </x:row>
    <x:row r="29">
      <x:c r="A29" s="59"/>
    </x:row>
    <x:row r="30">
      <x:c r="A30" s="59"/>
    </x:row>
    <x:row r="31">
      <x:c r="A31" s="59"/>
    </x:row>
    <x:row r="32">
      <x:c r="A32" s="59"/>
    </x:row>
    <x:row r="33">
      <x:c r="A33" s="59"/>
    </x:row>
    <x:row r="34">
      <x:c r="A34" s="59"/>
    </x:row>
    <x:row r="35">
      <x:c r="A35" s="59"/>
    </x:row>
    <x:row r="36">
      <x:c r="A36" s="59"/>
    </x:row>
    <x:row r="37">
      <x:c r="A37" s="59"/>
    </x:row>
    <x:row r="38">
      <x:c r="A38" s="59"/>
    </x:row>
    <x:row r="39">
      <x:c r="A39" s="59"/>
    </x:row>
    <x:row r="40">
      <x:c r="A40" s="59"/>
    </x:row>
    <x:row r="41">
      <x:c r="A41" s="59"/>
    </x:row>
    <x:row r="42">
      <x:c r="A42" s="59"/>
    </x:row>
    <x:row r="43">
      <x:c r="A43" s="59"/>
    </x:row>
    <x:row r="44">
      <x:c r="A44" s="59"/>
    </x:row>
    <x:row r="45">
      <x:c r="A45" s="59"/>
    </x:row>
    <x:row r="46">
      <x:c r="A46" s="59"/>
    </x:row>
    <x:row r="47">
      <x:c r="A47" s="59"/>
    </x:row>
    <x:row r="48">
      <x:c r="A48" s="59"/>
    </x:row>
    <x:row r="49">
      <x:c r="A49" s="59"/>
    </x:row>
    <x:row r="50">
      <x:c r="A50" s="59"/>
    </x:row>
    <x:row r="51">
      <x:c r="A51" s="59"/>
    </x:row>
    <x:row r="52">
      <x:c r="A52" s="59"/>
    </x:row>
    <x:row r="53">
      <x:c r="A53" s="59"/>
    </x:row>
    <x:row r="54">
      <x:c r="A54" s="59"/>
    </x:row>
    <x:row r="55">
      <x:c r="A55" s="59"/>
    </x:row>
    <x:row r="56">
      <x:c r="A56" s="59"/>
    </x:row>
    <x:row r="57">
      <x:c r="A57" s="59"/>
    </x:row>
    <x:row r="58">
      <x:c r="A58" s="59"/>
    </x:row>
    <x:row r="59">
      <x:c r="A59" s="59"/>
    </x:row>
    <x:row r="60">
      <x:c r="A60" s="59"/>
    </x:row>
    <x:row r="61">
      <x:c r="A61" s="59"/>
    </x:row>
    <x:row r="62">
      <x:c r="A62" s="59"/>
    </x:row>
    <x:row r="63">
      <x:c r="A63" s="59"/>
    </x:row>
    <x:row r="64">
      <x:c r="A64" s="59"/>
    </x:row>
    <x:row r="65">
      <x:c r="A65" s="59"/>
    </x:row>
    <x:row r="66">
      <x:c r="A66" s="59"/>
    </x:row>
    <x:row r="67">
      <x:c r="A67" s="59"/>
    </x:row>
    <x:row r="68">
      <x:c r="A68" s="59"/>
    </x:row>
    <x:row r="69">
      <x:c r="A69" s="59"/>
    </x:row>
    <x:row r="70">
      <x:c r="A70" s="59"/>
    </x:row>
    <x:row r="71">
      <x:c r="A71" s="59"/>
    </x:row>
    <x:row r="72">
      <x:c r="A72" s="59"/>
    </x:row>
    <x:row r="73">
      <x:c r="A73" s="59"/>
    </x:row>
    <x:row r="74">
      <x:c r="A74" s="59"/>
    </x:row>
    <x:row r="75">
      <x:c r="A75" s="59"/>
    </x:row>
    <x:row r="76">
      <x:c r="A76" s="59"/>
    </x:row>
    <x:row r="77">
      <x:c r="A77" s="59"/>
    </x:row>
    <x:row r="78">
      <x:c r="A78" s="59"/>
    </x:row>
    <x:row r="79">
      <x:c r="A79" s="59"/>
    </x:row>
    <x:row r="80">
      <x:c r="A80" s="59"/>
    </x:row>
    <x:row r="81">
      <x:c r="A81" s="59"/>
    </x:row>
    <x:row r="82">
      <x:c r="A82" s="59"/>
    </x:row>
    <x:row r="83">
      <x:c r="A83" s="59"/>
    </x:row>
    <x:row r="84">
      <x:c r="A84" s="59"/>
    </x:row>
    <x:row r="85">
      <x:c r="A85" s="59"/>
    </x:row>
    <x:row r="86">
      <x:c r="A86" s="59"/>
    </x:row>
    <x:row r="87">
      <x:c r="A87" s="59"/>
    </x:row>
    <x:row r="88">
      <x:c r="A88" s="59"/>
    </x:row>
    <x:row r="89">
      <x:c r="A89" s="59"/>
    </x:row>
    <x:row r="90">
      <x:c r="A90" s="59"/>
    </x:row>
    <x:row r="91">
      <x:c r="A91" s="59"/>
    </x:row>
    <x:row r="92">
      <x:c r="A92" s="59"/>
    </x:row>
    <x:row r="93">
      <x:c r="A93" s="59"/>
    </x:row>
    <x:row r="94">
      <x:c r="A94" s="59"/>
    </x:row>
    <x:row r="95">
      <x:c r="A95" s="59"/>
    </x:row>
    <x:row r="96">
      <x:c r="A96" s="59"/>
    </x:row>
    <x:row r="97">
      <x:c r="A97" s="59"/>
    </x:row>
    <x:row r="98">
      <x:c r="A98" s="59"/>
    </x:row>
    <x:row r="99">
      <x:c r="A99" s="59"/>
    </x:row>
    <x:row r="100">
      <x:c r="A100" s="59"/>
    </x:row>
    <x:row r="101">
      <x:c r="A101" s="59"/>
    </x:row>
    <x:row r="102">
      <x:c r="A102" s="59"/>
    </x:row>
    <x:row r="103">
      <x:c r="A103" s="59"/>
    </x:row>
    <x:row r="104">
      <x:c r="A104" s="59"/>
    </x:row>
    <x:row r="105">
      <x:c r="A105" s="59"/>
    </x:row>
    <x:row r="106">
      <x:c r="A106" s="59"/>
    </x:row>
    <x:row r="107">
      <x:c r="A107" s="59"/>
    </x:row>
    <x:row r="108">
      <x:c r="A108" s="59"/>
    </x:row>
    <x:row r="109">
      <x:c r="A109" s="59"/>
    </x:row>
    <x:row r="110">
      <x:c r="A110" s="59"/>
    </x:row>
    <x:row r="111">
      <x:c r="A111" s="59"/>
    </x:row>
    <x:row r="112">
      <x:c r="A112" s="59"/>
    </x:row>
    <x:row r="113">
      <x:c r="A113" s="59"/>
    </x:row>
    <x:row r="114">
      <x:c r="A114" s="59"/>
    </x:row>
    <x:row r="115">
      <x:c r="A115" s="59"/>
    </x:row>
    <x:row r="116">
      <x:c r="A116" s="59"/>
    </x:row>
    <x:row r="117">
      <x:c r="A117" s="59"/>
    </x:row>
    <x:row r="118">
      <x:c r="A118" s="59"/>
    </x:row>
    <x:row r="119">
      <x:c r="A119" s="59"/>
    </x:row>
    <x:row r="120">
      <x:c r="A120" s="59"/>
    </x:row>
    <x:row r="121">
      <x:c r="A121" s="59"/>
    </x:row>
    <x:row r="122">
      <x:c r="A122" s="59"/>
    </x:row>
    <x:row r="123">
      <x:c r="A123" s="59"/>
    </x:row>
    <x:row r="124">
      <x:c r="A124" s="59"/>
    </x:row>
    <x:row r="125">
      <x:c r="A125" s="59"/>
    </x:row>
    <x:row r="126">
      <x:c r="A126" s="59"/>
    </x:row>
    <x:row r="127">
      <x:c r="A127" s="59"/>
    </x:row>
    <x:row r="128">
      <x:c r="A128" s="59"/>
    </x:row>
    <x:row r="129">
      <x:c r="A129" s="59"/>
    </x:row>
    <x:row r="130">
      <x:c r="A130" s="59"/>
    </x:row>
    <x:row r="131">
      <x:c r="A131" s="59"/>
    </x:row>
    <x:row r="132">
      <x:c r="A132" s="59"/>
    </x:row>
    <x:row r="133">
      <x:c r="A133" s="59"/>
    </x:row>
    <x:row r="134">
      <x:c r="A134" s="59"/>
    </x:row>
    <x:row r="135">
      <x:c r="A135" s="59"/>
    </x:row>
    <x:row r="136">
      <x:c r="A136" s="59"/>
    </x:row>
    <x:row r="137">
      <x:c r="A137" s="59"/>
    </x:row>
    <x:row r="138">
      <x:c r="A138" s="59"/>
    </x:row>
    <x:row r="139">
      <x:c r="A139" s="59"/>
    </x:row>
    <x:row r="140">
      <x:c r="A140" s="59"/>
    </x:row>
    <x:row r="141">
      <x:c r="A141" s="59"/>
    </x:row>
    <x:row r="142">
      <x:c r="A142" s="59"/>
    </x:row>
    <x:row r="143">
      <x:c r="A143" s="59"/>
    </x:row>
    <x:row r="144">
      <x:c r="A144" s="59"/>
    </x:row>
    <x:row r="145">
      <x:c r="A145" s="59"/>
    </x:row>
    <x:row r="146">
      <x:c r="A146" s="59"/>
    </x:row>
    <x:row r="147">
      <x:c r="A147" s="59"/>
    </x:row>
    <x:row r="148">
      <x:c r="A148" s="59"/>
    </x:row>
    <x:row r="149">
      <x:c r="A149" s="59"/>
    </x:row>
    <x:row r="150">
      <x:c r="A150" s="59"/>
    </x:row>
    <x:row r="151">
      <x:c r="A151" s="59"/>
    </x:row>
    <x:row r="152">
      <x:c r="A152" s="59"/>
    </x:row>
    <x:row r="153">
      <x:c r="A153" s="59"/>
    </x:row>
    <x:row r="154">
      <x:c r="A154" s="59"/>
    </x:row>
    <x:row r="155">
      <x:c r="A155" s="59"/>
    </x:row>
    <x:row r="156">
      <x:c r="A156" s="59"/>
    </x:row>
    <x:row r="157">
      <x:c r="A157" s="59"/>
    </x:row>
    <x:row r="158">
      <x:c r="A158" s="59"/>
    </x:row>
    <x:row r="159">
      <x:c r="A159" s="59"/>
    </x:row>
    <x:row r="160">
      <x:c r="A160" s="59"/>
    </x:row>
    <x:row r="161">
      <x:c r="A161" s="59"/>
    </x:row>
    <x:row r="162">
      <x:c r="A162" s="59"/>
    </x:row>
    <x:row r="163">
      <x:c r="A163" s="59"/>
    </x:row>
    <x:row r="164">
      <x:c r="A164" s="59"/>
    </x:row>
    <x:row r="165">
      <x:c r="A165" s="59"/>
    </x:row>
    <x:row r="166">
      <x:c r="A166" s="59"/>
    </x:row>
    <x:row r="167">
      <x:c r="A167" s="59"/>
    </x:row>
    <x:row r="168">
      <x:c r="A168" s="59"/>
    </x:row>
    <x:row r="169">
      <x:c r="A169" s="59"/>
    </x:row>
    <x:row r="170">
      <x:c r="A170" s="59"/>
    </x:row>
    <x:row r="171">
      <x:c r="A171" s="59"/>
    </x:row>
    <x:row r="172">
      <x:c r="A172" s="59"/>
    </x:row>
    <x:row r="173">
      <x:c r="A173" s="59"/>
    </x:row>
    <x:row r="174">
      <x:c r="A174" s="59"/>
    </x:row>
    <x:row r="175">
      <x:c r="A175" s="59"/>
    </x:row>
    <x:row r="176">
      <x:c r="A176" s="59"/>
    </x:row>
    <x:row r="177">
      <x:c r="A177" s="59"/>
    </x:row>
    <x:row r="178">
      <x:c r="A178" s="59"/>
    </x:row>
    <x:row r="179">
      <x:c r="A179" s="59"/>
    </x:row>
    <x:row r="180">
      <x:c r="A180" s="59"/>
    </x:row>
    <x:row r="181">
      <x:c r="A181" s="59"/>
    </x:row>
    <x:row r="182">
      <x:c r="A182" s="59"/>
    </x:row>
    <x:row r="183">
      <x:c r="A183" s="59"/>
    </x:row>
    <x:row r="184">
      <x:c r="A184" s="59"/>
    </x:row>
    <x:row r="185">
      <x:c r="A185" s="59"/>
    </x:row>
    <x:row r="186">
      <x:c r="A186" s="59"/>
    </x:row>
    <x:row r="187">
      <x:c r="A187" s="59"/>
    </x:row>
    <x:row r="188">
      <x:c r="A188" s="59"/>
    </x:row>
    <x:row r="189">
      <x:c r="A189" s="59"/>
    </x:row>
    <x:row r="190">
      <x:c r="A190" s="59"/>
    </x:row>
    <x:row r="191">
      <x:c r="A191" s="59"/>
    </x:row>
    <x:row r="192">
      <x:c r="A192" s="59"/>
    </x:row>
    <x:row r="193">
      <x:c r="A193" s="59"/>
    </x:row>
    <x:row r="194">
      <x:c r="A194" s="59"/>
    </x:row>
    <x:row r="195">
      <x:c r="A195" s="59"/>
    </x:row>
    <x:row r="196">
      <x:c r="A196" s="59"/>
    </x:row>
    <x:row r="197">
      <x:c r="A197" s="59"/>
    </x:row>
    <x:row r="198">
      <x:c r="A198" s="59"/>
    </x:row>
    <x:row r="199">
      <x:c r="A199" s="59"/>
    </x:row>
    <x:row r="200">
      <x:c r="A200" s="5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73" t="str">
        <x:v>Note</x:v>
      </x:c>
      <x:c r="B1" s="73" t="str">
        <x:v>Details</x:v>
      </x:c>
    </x:row>
    <x:row r="2">
      <x:c r="A2" s="14" t="str">
        <x:v>Manual checking model</x:v>
      </x:c>
      <x:c r="B2" s="12" t="str">
        <x:v>Criteria are grouped by the device where the expert should perform the check. Remote checker scripts are not required.</x:v>
      </x:c>
    </x:row>
    <x:row r="3">
      <x:c r="A3" s="14" t="str">
        <x:v>External blocking</x:v>
      </x:c>
      <x:c r="B3" s="12" t="str">
        <x:v>Score external port blocking from INET-CL01 only. Target servers separately check firewall scope/configuration to avoid double deduction for the same exposure.</x:v>
      </x:c>
    </x:row>
    <x:row r="4">
      <x:c r="A4" s="14" t="str">
        <x:v>WEF self-source</x:v>
      </x:c>
      <x:c r="B4" s="12" t="str">
        <x:v>BJ-SRV01 may be accepted as an explicit WEF source or by confirmed local Security events on the collector if all required remote sources forward correctly.</x:v>
      </x:c>
    </x:row>
    <x:row r="5">
      <x:c r="A5" s="14" t="str">
        <x:v>WEF Event IDs</x:v>
      </x:c>
      <x:c r="B5" s="12" t="str">
        <x:v>Events 4624, 4625, 4688, 4720, 4728 and 4729 must be present after Task 13 validation actions; each ID does not need to appear from every source.</x:v>
      </x:c>
    </x:row>
    <x:row r="6">
      <x:c r="A6" s="14" t="str">
        <x:v>Auditor role</x:v>
      </x:c>
      <x:c r="B6" s="12" t="str">
        <x:v>auditor.b4 / GG_B4_Auditors should be able to read Forwarded Events or audit evidence without local administrator rights.</x:v>
      </x:c>
    </x:row>
    <x:row r="7">
      <x:c r="A7" s="14" t="str">
        <x:v>Domain out-of-scope hosts</x:v>
      </x:c>
      <x:c r="B7" s="12" t="str">
        <x:v>SHA-WEB01 and SHA-APP01 must not be joined to nb-b4.local as part of B4.</x:v>
      </x:c>
    </x:row>
    <x:row r="8">
      <x:c r="A8" s="14" t="str">
        <x:v>Built-in accounts</x:v>
      </x:c>
      <x:c r="B8" s="12" t="str">
        <x:v>Do not penalize default built-in Administrator or system SIDs when evaluating local Administrators, unless they are used to bypass the required domain model.</x:v>
      </x:c>
    </x:row>
    <x:row r="9">
      <x:c r="A9" s="14" t="str">
        <x:v>No extra technologies</x:v>
      </x:c>
      <x:c r="B9" s="12" t="str">
        <x:v>Do not score PKI, IIS, DFS/DFSR, FSRM, iSCSI, Backup, VPN, NPS, AD FS/WAP, WSUS, Git or cloud services in B4.</x:v>
      </x:c>
    </x:row>
    <x:row r="10">
      <x:c r="A10" s="59"/>
    </x:row>
    <x:row r="11">
      <x:c r="A11" s="59"/>
    </x:row>
    <x:row r="12">
      <x:c r="A12" s="59"/>
    </x:row>
    <x:row r="13">
      <x:c r="A13" s="59"/>
    </x:row>
    <x:row r="14">
      <x:c r="A14" s="59"/>
    </x:row>
    <x:row r="15">
      <x:c r="A15" s="59"/>
    </x:row>
    <x:row r="16">
      <x:c r="A16" s="59"/>
    </x:row>
    <x:row r="17">
      <x:c r="A17" s="59"/>
    </x:row>
    <x:row r="18">
      <x:c r="A18" s="59"/>
    </x:row>
    <x:row r="19">
      <x:c r="A19" s="59"/>
    </x:row>
    <x:row r="20">
      <x:c r="A20" s="59"/>
    </x:row>
    <x:row r="21">
      <x:c r="A21" s="59"/>
    </x:row>
    <x:row r="22">
      <x:c r="A22" s="59"/>
    </x:row>
    <x:row r="23">
      <x:c r="A23" s="59"/>
    </x:row>
    <x:row r="24">
      <x:c r="A24" s="59"/>
    </x:row>
    <x:row r="25">
      <x:c r="A25" s="59"/>
    </x:row>
    <x:row r="26">
      <x:c r="A26" s="59"/>
    </x:row>
    <x:row r="27">
      <x:c r="A27" s="59"/>
    </x:row>
    <x:row r="28">
      <x:c r="A28" s="59"/>
    </x:row>
    <x:row r="29">
      <x:c r="A29" s="59"/>
    </x:row>
    <x:row r="30">
      <x:c r="A30" s="59"/>
    </x:row>
    <x:row r="31">
      <x:c r="A31" s="59"/>
    </x:row>
    <x:row r="32">
      <x:c r="A32" s="59"/>
    </x:row>
    <x:row r="33">
      <x:c r="A33" s="59"/>
    </x:row>
    <x:row r="34">
      <x:c r="A34" s="59"/>
    </x:row>
    <x:row r="35">
      <x:c r="A35" s="59"/>
    </x:row>
    <x:row r="36">
      <x:c r="A36" s="59"/>
    </x:row>
    <x:row r="37">
      <x:c r="A37" s="59"/>
    </x:row>
    <x:row r="38">
      <x:c r="A38" s="59"/>
    </x:row>
    <x:row r="39">
      <x:c r="A39" s="59"/>
    </x:row>
    <x:row r="40">
      <x:c r="A40" s="59"/>
    </x:row>
    <x:row r="41">
      <x:c r="A41" s="59"/>
    </x:row>
    <x:row r="42">
      <x:c r="A42" s="59"/>
    </x:row>
    <x:row r="43">
      <x:c r="A43" s="59"/>
    </x:row>
    <x:row r="44">
      <x:c r="A44" s="59"/>
    </x:row>
    <x:row r="45">
      <x:c r="A45" s="59"/>
    </x:row>
    <x:row r="46">
      <x:c r="A46" s="59"/>
    </x:row>
    <x:row r="47">
      <x:c r="A47" s="59"/>
    </x:row>
    <x:row r="48">
      <x:c r="A48" s="59"/>
    </x:row>
    <x:row r="49">
      <x:c r="A49" s="59"/>
    </x:row>
    <x:row r="50">
      <x:c r="A50" s="59"/>
    </x:row>
    <x:row r="51">
      <x:c r="A51" s="59"/>
    </x:row>
    <x:row r="52">
      <x:c r="A52" s="59"/>
    </x:row>
    <x:row r="53">
      <x:c r="A53" s="59"/>
    </x:row>
    <x:row r="54">
      <x:c r="A54" s="59"/>
    </x:row>
    <x:row r="55">
      <x:c r="A55" s="59"/>
    </x:row>
    <x:row r="56">
      <x:c r="A56" s="59"/>
    </x:row>
    <x:row r="57">
      <x:c r="A57" s="59"/>
    </x:row>
    <x:row r="58">
      <x:c r="A58" s="59"/>
    </x:row>
    <x:row r="59">
      <x:c r="A59" s="59"/>
    </x:row>
    <x:row r="60">
      <x:c r="A60" s="59"/>
    </x:row>
    <x:row r="61">
      <x:c r="A61" s="59"/>
    </x:row>
    <x:row r="62">
      <x:c r="A62" s="59"/>
    </x:row>
    <x:row r="63">
      <x:c r="A63" s="59"/>
    </x:row>
    <x:row r="64">
      <x:c r="A64" s="59"/>
    </x:row>
    <x:row r="65">
      <x:c r="A65" s="59"/>
    </x:row>
    <x:row r="66">
      <x:c r="A66" s="59"/>
    </x:row>
    <x:row r="67">
      <x:c r="A67" s="59"/>
    </x:row>
    <x:row r="68">
      <x:c r="A68" s="59"/>
    </x:row>
    <x:row r="69">
      <x:c r="A69" s="59"/>
    </x:row>
    <x:row r="70">
      <x:c r="A70" s="59"/>
    </x:row>
    <x:row r="71">
      <x:c r="A71" s="59"/>
    </x:row>
    <x:row r="72">
      <x:c r="A72" s="59"/>
    </x:row>
    <x:row r="73">
      <x:c r="A73" s="59"/>
    </x:row>
    <x:row r="74">
      <x:c r="A74" s="59"/>
    </x:row>
    <x:row r="75">
      <x:c r="A75" s="59"/>
    </x:row>
    <x:row r="76">
      <x:c r="A76" s="59"/>
    </x:row>
    <x:row r="77">
      <x:c r="A77" s="59"/>
    </x:row>
    <x:row r="78">
      <x:c r="A78" s="59"/>
    </x:row>
    <x:row r="79">
      <x:c r="A79" s="59"/>
    </x:row>
    <x:row r="80">
      <x:c r="A80" s="59"/>
    </x:row>
    <x:row r="81">
      <x:c r="A81" s="59"/>
    </x:row>
    <x:row r="82">
      <x:c r="A82" s="59"/>
    </x:row>
    <x:row r="83">
      <x:c r="A83" s="59"/>
    </x:row>
    <x:row r="84">
      <x:c r="A84" s="59"/>
    </x:row>
    <x:row r="85">
      <x:c r="A85" s="59"/>
    </x:row>
    <x:row r="86">
      <x:c r="A86" s="59"/>
    </x:row>
    <x:row r="87">
      <x:c r="A87" s="59"/>
    </x:row>
    <x:row r="88">
      <x:c r="A88" s="59"/>
    </x:row>
    <x:row r="89">
      <x:c r="A89" s="59"/>
    </x:row>
    <x:row r="90">
      <x:c r="A90" s="59"/>
    </x:row>
    <x:row r="91">
      <x:c r="A91" s="59"/>
    </x:row>
    <x:row r="92">
      <x:c r="A92" s="59"/>
    </x:row>
    <x:row r="93">
      <x:c r="A93" s="59"/>
    </x:row>
    <x:row r="94">
      <x:c r="A94" s="59"/>
    </x:row>
    <x:row r="95">
      <x:c r="A95" s="59"/>
    </x:row>
    <x:row r="96">
      <x:c r="A96" s="59"/>
    </x:row>
    <x:row r="97">
      <x:c r="A97" s="59"/>
    </x:row>
    <x:row r="98">
      <x:c r="A98" s="59"/>
    </x:row>
    <x:row r="99">
      <x:c r="A99" s="59"/>
    </x:row>
    <x:row r="100">
      <x:c r="A100" s="59"/>
    </x:row>
    <x:row r="101">
      <x:c r="A101" s="59"/>
    </x:row>
    <x:row r="102">
      <x:c r="A102" s="59"/>
    </x:row>
    <x:row r="103">
      <x:c r="A103" s="59"/>
    </x:row>
    <x:row r="104">
      <x:c r="A104" s="59"/>
    </x:row>
    <x:row r="105">
      <x:c r="A105" s="59"/>
    </x:row>
    <x:row r="106">
      <x:c r="A106" s="59"/>
    </x:row>
    <x:row r="107">
      <x:c r="A107" s="59"/>
    </x:row>
    <x:row r="108">
      <x:c r="A108" s="59"/>
    </x:row>
    <x:row r="109">
      <x:c r="A109" s="59"/>
    </x:row>
    <x:row r="110">
      <x:c r="A110" s="59"/>
    </x:row>
    <x:row r="111">
      <x:c r="A111" s="59"/>
    </x:row>
    <x:row r="112">
      <x:c r="A112" s="59"/>
    </x:row>
    <x:row r="113">
      <x:c r="A113" s="59"/>
    </x:row>
    <x:row r="114">
      <x:c r="A114" s="59"/>
    </x:row>
    <x:row r="115">
      <x:c r="A115" s="59"/>
    </x:row>
    <x:row r="116">
      <x:c r="A116" s="59"/>
    </x:row>
    <x:row r="117">
      <x:c r="A117" s="59"/>
    </x:row>
    <x:row r="118">
      <x:c r="A118" s="59"/>
    </x:row>
    <x:row r="119">
      <x:c r="A119" s="59"/>
    </x:row>
    <x:row r="120">
      <x:c r="A120" s="59"/>
    </x:row>
    <x:row r="121">
      <x:c r="A121" s="59"/>
    </x:row>
    <x:row r="122">
      <x:c r="A122" s="59"/>
    </x:row>
    <x:row r="123">
      <x:c r="A123" s="59"/>
    </x:row>
    <x:row r="124">
      <x:c r="A124" s="59"/>
    </x:row>
    <x:row r="125">
      <x:c r="A125" s="59"/>
    </x:row>
    <x:row r="126">
      <x:c r="A126" s="59"/>
    </x:row>
    <x:row r="127">
      <x:c r="A127" s="59"/>
    </x:row>
    <x:row r="128">
      <x:c r="A128" s="59"/>
    </x:row>
    <x:row r="129">
      <x:c r="A129" s="59"/>
    </x:row>
    <x:row r="130">
      <x:c r="A130" s="59"/>
    </x:row>
    <x:row r="131">
      <x:c r="A131" s="59"/>
    </x:row>
    <x:row r="132">
      <x:c r="A132" s="59"/>
    </x:row>
    <x:row r="133">
      <x:c r="A133" s="59"/>
    </x:row>
    <x:row r="134">
      <x:c r="A134" s="59"/>
    </x:row>
    <x:row r="135">
      <x:c r="A135" s="59"/>
    </x:row>
    <x:row r="136">
      <x:c r="A136" s="59"/>
    </x:row>
    <x:row r="137">
      <x:c r="A137" s="59"/>
    </x:row>
    <x:row r="138">
      <x:c r="A138" s="59"/>
    </x:row>
    <x:row r="139">
      <x:c r="A139" s="59"/>
    </x:row>
    <x:row r="140">
      <x:c r="A140" s="59"/>
    </x:row>
    <x:row r="141">
      <x:c r="A141" s="59"/>
    </x:row>
    <x:row r="142">
      <x:c r="A142" s="59"/>
    </x:row>
    <x:row r="143">
      <x:c r="A143" s="59"/>
    </x:row>
    <x:row r="144">
      <x:c r="A144" s="59"/>
    </x:row>
    <x:row r="145">
      <x:c r="A145" s="59"/>
    </x:row>
    <x:row r="146">
      <x:c r="A146" s="59"/>
    </x:row>
    <x:row r="147">
      <x:c r="A147" s="59"/>
    </x:row>
    <x:row r="148">
      <x:c r="A148" s="59"/>
    </x:row>
    <x:row r="149">
      <x:c r="A149" s="59"/>
    </x:row>
    <x:row r="150">
      <x:c r="A150" s="59"/>
    </x:row>
    <x:row r="151">
      <x:c r="A151" s="59"/>
    </x:row>
    <x:row r="152">
      <x:c r="A152" s="59"/>
    </x:row>
    <x:row r="153">
      <x:c r="A153" s="59"/>
    </x:row>
    <x:row r="154">
      <x:c r="A154" s="59"/>
    </x:row>
    <x:row r="155">
      <x:c r="A155" s="59"/>
    </x:row>
    <x:row r="156">
      <x:c r="A156" s="59"/>
    </x:row>
    <x:row r="157">
      <x:c r="A157" s="59"/>
    </x:row>
    <x:row r="158">
      <x:c r="A158" s="59"/>
    </x:row>
    <x:row r="159">
      <x:c r="A159" s="59"/>
    </x:row>
    <x:row r="160">
      <x:c r="A160" s="59"/>
    </x:row>
    <x:row r="161">
      <x:c r="A161" s="59"/>
    </x:row>
    <x:row r="162">
      <x:c r="A162" s="59"/>
    </x:row>
    <x:row r="163">
      <x:c r="A163" s="59"/>
    </x:row>
    <x:row r="164">
      <x:c r="A164" s="59"/>
    </x:row>
    <x:row r="165">
      <x:c r="A165" s="59"/>
    </x:row>
    <x:row r="166">
      <x:c r="A166" s="59"/>
    </x:row>
    <x:row r="167">
      <x:c r="A167" s="59"/>
    </x:row>
    <x:row r="168">
      <x:c r="A168" s="59"/>
    </x:row>
    <x:row r="169">
      <x:c r="A169" s="59"/>
    </x:row>
    <x:row r="170">
      <x:c r="A170" s="59"/>
    </x:row>
    <x:row r="171">
      <x:c r="A171" s="59"/>
    </x:row>
    <x:row r="172">
      <x:c r="A172" s="59"/>
    </x:row>
    <x:row r="173">
      <x:c r="A173" s="59"/>
    </x:row>
    <x:row r="174">
      <x:c r="A174" s="59"/>
    </x:row>
    <x:row r="175">
      <x:c r="A175" s="59"/>
    </x:row>
    <x:row r="176">
      <x:c r="A176" s="59"/>
    </x:row>
    <x:row r="177">
      <x:c r="A177" s="59"/>
    </x:row>
    <x:row r="178">
      <x:c r="A178" s="59"/>
    </x:row>
    <x:row r="179">
      <x:c r="A179" s="59"/>
    </x:row>
    <x:row r="180">
      <x:c r="A180" s="59"/>
    </x:row>
    <x:row r="181">
      <x:c r="A181" s="59"/>
    </x:row>
    <x:row r="182">
      <x:c r="A182" s="59"/>
    </x:row>
    <x:row r="183">
      <x:c r="A183" s="59"/>
    </x:row>
    <x:row r="184">
      <x:c r="A184" s="59"/>
    </x:row>
    <x:row r="185">
      <x:c r="A185" s="59"/>
    </x:row>
    <x:row r="186">
      <x:c r="A186" s="59"/>
    </x:row>
    <x:row r="187">
      <x:c r="A187" s="59"/>
    </x:row>
    <x:row r="188">
      <x:c r="A188" s="59"/>
    </x:row>
    <x:row r="189">
      <x:c r="A189" s="59"/>
    </x:row>
    <x:row r="190">
      <x:c r="A190" s="59"/>
    </x:row>
    <x:row r="191">
      <x:c r="A191" s="59"/>
    </x:row>
    <x:row r="192">
      <x:c r="A192" s="59"/>
    </x:row>
    <x:row r="193">
      <x:c r="A193" s="59"/>
    </x:row>
    <x:row r="194">
      <x:c r="A194" s="59"/>
    </x:row>
    <x:row r="195">
      <x:c r="A195" s="59"/>
    </x:row>
    <x:row r="196">
      <x:c r="A196" s="59"/>
    </x:row>
    <x:row r="197">
      <x:c r="A197" s="59"/>
    </x:row>
    <x:row r="198">
      <x:c r="A198" s="59"/>
    </x:row>
    <x:row r="199">
      <x:c r="A199" s="59"/>
    </x:row>
    <x:row r="200">
      <x:c r="A200" s="59"/>
    </x:row>
  </x:sheetData>
  <x:pageMargins left="0.7" right="0.7" top="0.75" bottom="0.75" header="0.3" footer="0.3"/>
</x:worksheet>
</file>